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lanilha1" sheetId="1" state="visible" r:id="rId3"/>
    <sheet name="Planilha2" sheetId="2" state="visible" r:id="rId4"/>
    <sheet name="Planilha3" sheetId="3" state="visible" r:id="rId5"/>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<sst xmlns="http://schemas.openxmlformats.org/spreadsheetml/2006/main" count="285" uniqueCount="241">
  <si>
    <t xml:space="preserve">TITLE</t>
  </si>
  <si>
    <t xml:space="preserve">AUTHORS</t>
  </si>
  <si>
    <t xml:space="preserve">AUTHORS_APA</t>
  </si>
  <si>
    <t xml:space="preserve">KEYWORDS</t>
  </si>
  <si>
    <t xml:space="preserve">ABSTRACT</t>
  </si>
  <si>
    <t xml:space="preserve">REFERENCES</t>
  </si>
  <si>
    <t xml:space="preserve">CONFERENCE/JOURNAL</t>
  </si>
  <si>
    <t xml:space="preserve">YEAR</t>
  </si>
  <si>
    <t xml:space="preserve">Source</t>
  </si>
  <si>
    <t xml:space="preserve">Evolving towards military innovation: AI and the Australian Army</t>
  </si>
  <si>
    <t xml:space="preserve">Alex Neads; Theo Farrell; David J. Galbreath</t>
  </si>
  <si>
    <t xml:space="preserve">Military innovation; human-machine teaming; future war; artificial intelligence; command and control; Australian Defence Forces</t>
  </si>
  <si>
    <t xml:space="preserve">Established theory views military innovation as extraordinarily difficult, resulting in painful if infrequent revolutionary transformations. This article presents a divergent view, in which military innovation occurs progressively in an evolutionary fashion. Drawing on New Institutionalism and the Sociology of Science and Technology, we explore processes of professional debate and consensus-building among military officers, which can lead to evolutionary innovation. Examining the future application of artificial intelligence to command-and-control in the Australian Army, we find that officer attitudes to automation are rooted in shared experience of existing digitisation programmes, creating an emergent consensus over the evolutionary trajectory of future military innovation.</t>
  </si>
  <si>
    <t xml:space="preserve">Australian Army and Microsoft Collaborate on AI-Infused Platform to Transcribe Combat Net Radio’, Microsoft website, 16 Dec. 2021. https://news.microsoft.com/en-au/features/australian-army-and-microsoft-collaborate-on-ai-infused-platform-to-transcribe-combat-net-radio/(open in a new window).| Aliotta, Jerome, ‘Using Long-Distance Control, Army Tests Robotic Vehicle Along Challenging Australian Terrain’, U.S. Army Tank Automotive Research, Development and Engineering Center Public Affairs, 7 Oct. 2016. https://www.army.mil/article/176368/using_long_distance_control_army_tests_robotic_vehicle_along_challenging_australian_terrain(open in a new window).| Australian Army, Robotic and Autonomous Systems Strategy (Canberra: Future Land Warfare Branch 2018).| Australian Army, ‘Human-Machine Teams: Discussion Paper’, Soldier Combat System Program, 29 Mar. 2019, 1–28.| Australian Army, Army in Motion: Army’s Contribution to Defence Strategy (Canberra: Australian Army 2020).| Australian Defence Force, ADF Concept for Command and Control of the Future Force (Canberra: Department of Defence 2018).| Australian Defence Force, Concept for Robotic and Autonomous Systems (Canberra: Commonwealth of Australia 2020).| Australian National Audit Office, Auditor-General Report No. 40 2018–19: Modernising Army Command and Control—The Land 200 Program (Barton: Commonwealth of Australia 2019).| Avant, Deborah D., Political Institutions and Military Change: Lessons from Peripheral Wars (Ithaca, NY: Cornell UP 1994).| Bickell, Colonel Craig, ’Plan Beersheba: The Combined Arms Imperative Behind the Reorganisation of the Army’, Australian Army Journal 10/4 (2013), 36–52. https://researchcentre.army.gov.au/sites/default/files/aaj_2013_4.pdf(open in a new window).| Bijker, Wiebe E., Thomas P. Hughes, and Trevor J. Pinch, eds., The Social Construction of Technological Systems: New Directions in the Sociology and History of Technology (Cambridge, MA: The MIT Press 1987).| Black, Jeremy, A Military Revolution? Military Change and European Society 1550-1800 (Basingstoke: Palgrave Macmillan 1991).| Boutelle, Steven W. and Ronald Filak, ’AFATDS: The Fire Support Window to the 21st Century’, Joint Force Quarterly 10 (1996), 16–21.| Burr, Lieutenant General Rick, ‘Army in Motion: Accelerated Warfare Statement’, Australian Army, 22 Oct. 2020. https://www.army.gov.au/sites/default/files/2020-11/2020%20-%20Accelerated%20Warfare_0.pdf(open in a new window).| Catignani, Sergio, ’Coping with Knowledge: Organizational Learning in the British Army?’, Journal of Strategic Studies 37/1 (2014), 30–64. doi:10.1080/01402390.2013.776958.| Clifford, Michael, Michael Ryan, and Zoe Hawkins, Mission Command and C3 Modernisation in the Australian Army: Digitisation a Critical Enabler (Canberra: Australian Strategic Policy Institute 2015).| Cohen, Eliot A., ’Change and Transformation in Military Affairs’, Journal of Strategic Studies 27/3 (2004), 395–407. doi:10.1080/1362369042000283958.| Cox, Samuel and Lieutenant Colonel Scott Holmes, ‘An Interview with Scott Holmes: Human-Machine Teaming’, Grounded Curiosity, 1 Mar. 2020. https://groundedcuriosity.com/wp-content/uploads/2020/02/LTCOL-Scott-Holmes-Interview-APPROVED.pdf(open in a new window).| Cox, Samuel and Lieutenant Colonel Robin Smith, ‘An Interview with Robin Smith: Robotic and Autonomous Systems in the Australian Army’, Grounded Curiosity, 2 Mar. 2020. https://groundedcuriosity.com/wp-content/uploads/2020/02/LTCOL-Robin-Smith-Interview-APPROVED.pdf(open in a new window) .| Defence News, ‘Exercise Autonomous Warrior Testing New Technologies to Meet Emerging Maritime Security Challenges’, Australian Department of Defence, 16 May 2022. https://news.defence.gov.au/media/media-releases/exercise-autonomous-warrior-testing-new-technologies-meet-emerging-maritime-security-challenges(open in a new window).| Department of Defence, Giving Army the Capability Edge: Science and Technology Highlights from the Land Domain (Canberra: Defence Science and Technology Group 2017).| Department of Defence, 2020 Defence Strategic Update (Canberra: Commonwealth of Australia 2020).| Department of Defence, 2020 Force Structure Plan (Canberra: Commonwealth of Australia 2020).| Deptula, Lieutenant General David, Heather Penney, Major General Lawrence Stutzriem, and Mark Gunzinger, Restoring America’s Military Competitiveness: Mosaic Warfare (Arlington, VA: Mitchell Institute 2019).| Eldridge, Niles and Stephen Jay Gould, ’Punctuated Equilibria: An Alternative to Phyletic Gradualism’, in Thomas Schopf (ed.), Models in Paleobiology (San Francisco: Freeman, Cooper 1972), 82–115.| Farrell, Theo, ’Transnational Norms and Military Development: Constructing Ireland’s Professional Army’, European Journal of International Relations 7/1 (2001), 63–102. doi:10.1177/1354066101007001003.| Farrell, Theo, ’Improving in War: Military Adaptation and the British in Helmand Province, Afghanistan, 2006–2009’, Journal of Strategic Studies 33/4 (2010), 567–94. doi:10.1080/01402390.2010.489712.| Farrell, Theo, Frans Osinga, and James A. Russell, eds., Military Adaptation in Afghanistan (Stanford: Stanford UP 2013).| Farrell, Theo, Sten Rynning, and Terry Terriff, Transforming Military Power Since the Cold War: Britain, France and the United States, 1991-2012 (Cambridge: Cambridge UP 2013).| Foley, Robert T., ’Dumb Donkeys or Cunning Foxes? Learning in the British and German Armies During the Great War’, International Affairs 90/2 (2014), 279–98. doi:10.1111/1468-2346.12109.| Foley, Robert T., Stuart Griffin, and Helen McCartney, ’“Transformation in contact”: Learning the Lessons of Modern War’, International Affairs 87/2 (2011), 253–70. doi:10.1111/j.1468-2346.2011.00972.x.| Galliott, Jai and Austin Wyatt, ’A Consideration of How Emerging Military Leaders Perceive Themes in the Autonomous Weapon System Discourse’, Defence Studies 22/2 (2022), 253–76. doi:10.1080/14702436.2021.2012653.| Goldman, Emily O., ’Cultural Foundations of Military Diffusion’, Review of International Studies 32/1 (2006), 69–91. doi:10.1017/S0260210506006930. Goldman, Emily O. and Leslie C. Eliason, eds., The Diffusion of Military Technologies and Ideas (Stanford, CA: Stanford UP 2003).| Grissom, Adam, ’The Future of Military Innovation Studies’, Journal of Strategic Studies 29/5 (2006), 905–34. doi:10.1080/01402390600901067.| Hammes, T. X., ’Technological Change and the Fourth Industrial Revolution’, in George P. Shultz, Jim Hoagland, and James Timble (eds.), Beyond Disruption: Technology’s Challenge to Governance (Stanford: Hoover Institution 2008), 37–74.| Hoffman, Frank G., Mars Adapting: Military Change During War (Annapolis, MD: US Naval Institute Press 2021).| Horowitz, Michael C., The Diffusion of Military Power: Causes and Consequences for International Politics (Princeton, NJ: Princeton UP 2010).| Horowitz, Michael C. and Shira Pindyck, ’What is a Military Innovation and Why It Matters’, Journal of Strategic Studies 46/1 (2023), 85–114. doi:10.1080/01402390.2022.2038572.| Hunzeker, Michael A. and Kristen A. Harkness, ’Detecting the Need for Change: How the British Army Adapted to Warfare on the Western Front and in the Southern Cameroons’, European Journal of International Security 6/1 (2021), 66–85. doi:10.1017/eis.2020.17.| Jensen, Benjamin M., Forging the Sword: Doctrinal Change in the U.S. Army (Stanford, CA: Stanford UP 2016).| Jungdahl, Adam M. and Julia M. Macdonald, ’Innovation Inhibitors in War: Overcoming Obstacles in the Pursuit of Military Effectiveness’, Journal of Strategic Studies 38/4 (2015), 467–99. doi:10.1080/01402390.2014.917628.| Kadercan, Burak, ’Strong Armies, Slow Adaptation: Civil-Military Relations and the Diffusion of Military Power’, International Security 38/3 (2014), 117–52. doi:10.1162/ISEC_a_00146.| Kier, Elizabeth, Imagining War: French and British Military Doctrine Between the Wars (Princeton, NJ: Princeton UP 1997).| King, Anthony, ’Understanding the Helmand Campaign: British Military Operations in Afghanistan’, International Affairs 86/2 (2010), 311–32. doi:10.1111/j.1468-2346.2010.00884.x. King, Anthony, Command: The Twenty-First-Century General (Cambridge: Cambridge UP 2019).| King, Lieutenant Colonel Richard, ’How the Army Learned to Plan but Forgot How to Think’, Australian Army Journal 5/3 (2008), 141–52.| Kollars, Nina, ’Military Innovation’s Dialectic: Gun Trucks and Rapid Acquisition’, Security Studies 23/4 (2014), 787–813. doi:10.1080/09636412.2014.965000.| Kollars, Nina, ’War’s Horizon: Soldier-Led Adaptation in Iraq and Vietnam’, Journal of Strategic Studies 38/4 (2015), 529–53. doi:10.1080/01402390.2014.971947.| Krepinevich, Andrew F., ’Cavalry to Computer: The Pattern of Military Revolutions’, The National Interest 37 (1994), 30–42.| Kuo, Kendrick, ’Military Innovation and Technological Determinism: British and US Ways of Carrier Warfare, 1919–1945’, Journal of Global Security Studies 6/3 (2021), 1–19. doi:10.1093/jogss/ogaa046.| Langford, Brigadier Ian, ‘Tactical and Strategic “Readiness” for the Australian Army’, Land Power Forum, 15 May 2020. https://researchcentre.army.gov.au/library/land-power-forum/tactical-and-strategic-readiness-australian-army(open in a new window).| Leahy, Peter, ’The Future for Land Forces’, Security Challenges 9/2 (2013), 59–66. https://www-jstor-org.ez54.periodicos.capes.gov.br/stable/26462915(open in a new window).| Macdonald, Julia and Jacquelyn Schneider, ’Battlefield Responses to New Technologies: Views from the Ground on Unmanned Aircraft’, Security Studies 28/2 (2019), 216–49. doi:10.1080/09636412.2019.1551565.| MacKenzie, Donald and Judy Wajcman, eds., The Social Shaping of Technology (Maidenhead: Open UP 1999).| Mahnken, Thomas G., Uncovering Ways of War: U.S. Intelligence and Foreign Military Innovation, 1918-1941 (Ithaca, NY: Cornell UP 2002).| Mahnken, Thomas G. and James R. FitzSimonds, ’Revolutionary Ambivalence: Understanding Officer Attitudes Towards Transformation’, International Security 28/2 (2003), 112–48. doi:10.1162/016228803322761982.| Marcus, Raphael D., ’Military Innovation and Tactical Adaptation in the Israel–Hizballah Conflict: The Institutionalization of Lesson-Learning in the IDF’, Journal of Strategic Studies 38/4 (2015), 500–28. doi:10.1080/01402390.2014.923767.| Milner, Marc, ’Convoy Escorts: Tactics, Technology, and Innovation in the Royal Canadian Navy, 1939–1943’, Military Affairs 48/1 (1984), 19–25. doi:10.2307/1988343.| Morgan, Forrest E., Benjamin Boudreaux, Andrew J. Lohn, Mark Ashby, Christian Curriden, Kelly Klima, and Derek Grossman, Military Applications of Artificial Intelligence: Ethical Concerns in an Uncertain World (Santa Monica: RAND 2020).| Mukunda, Gautam, ’We Cannot Go On: Disruptive Innovation and the First World War Royal Navy’, Security Studies 19/1 (2010), 124–59. doi:10.1080/09636410903546731.| Palazzo, Albert, ‘Forging Australian Land Power: A Primer’, Australian Army Research Paper, Dec. 2015, p. 17–26. https://researchcentre.army.gov.au/sites/default/files/2015_12_flw_palazzo_web_0.pdf(open in a new window).| Parker, Geoffrey, The Military Revolution: Military Innovation and the Rise of the West, 1500-1800 (Cambridge: Cambridge UP 1996).| Payne, Kenneth, I Warbot: The Dawn of Artificially Intelligent Conflict (London: Hurst &amp; Co 2021).| Posen, Barry, The Sources of Military Doctrine: France, Britain, and Germany Between the World Wars (Ithaca, NY: Cornell UP 1984).| Powell, Walter W. and Paul J. DiMaggio, eds., The New Institutionalism in Organisational Analysis (Chicago, IL: Chicago UP 1991).| Raska, Michael, ’The Sixth RMA Wave: Disruption in Military Affairs?’, Journal of Strategic Studies 44/4 (2021), 456–47. doi:10.1080/01402390.2020.1848818.| Rhodes, Edward, ’Do Bureaucratic Politics Matter? Some Disconfirming Findings from the Case of the U.S. Navy’, World Politics 47/1 (1994), 1–41. doi:10.2307/2950678.| Risse, Thomas, ’“Let’s Argue!” Communicative Action in World Politics’, International Organization 54/1 (2000), 1–39. doi:10.1162/002081800551109.| Rosen, Stephen Peter, Winning the Next War: Innovation and the Modern Military (Ithaca, NY: Cornell UP 1991).| Ryan, Lieutenant Colonel Sean, ‘Hardened and Networked Army – an Army for Now and the Future’, Defence Magazine, Feb. 2006. https://web.archive.org/web/20070920190839/http://www.defence.gov.au/defencemagazine/editions/200602/features/feature01.htm(open in a new window).| Ryan, Major General Mick, ’After Afghanistan: A Small Army and the Strategic Employment of Land Power’, Security Challenges 10/3 (2014), 51–72. https://www-jstor-org.ez54.periodicos.capes.gov.br/stable/26465445(open in a new window)| Ryan, Major General Mick, Human-Machine Teaming for Future Ground Forces (Washington, DC: Center for Strategic and Budgetary Assessments 2018).| Sapolsky, Harvey M., Brendan Rittenhouse Green, and Benjamin H. Friedman, eds., US Military Innovation Since the Cold War (Abingdon: Routledge 2009).| Sawers, Matthew and Kim Tang, Semi-Autonomous Combat Team: Dismounted Infantry 2030 Concept (Canberra: Defence Science and Technology Group 2020).| Scharre, Paul, Army of None: Autonomous Weapons and the Future of War (New York: W. W. Norton &amp; Co 2018).| Singer, P. W., Wired for War: The Robotics Revolution and Conflict in the 21st Century (New York: Penguin 2009).| Singer, P. W., ’Tactical Generals: Leaders, Technology, and the Perils of Battlefield Micromanagement’, Australian Army Journal 6/3 (2009), 147–64.| Sloan, Elinor, ’Robotics at War’, Survival 57/5 (2015), 107–20. doi:10.1080/00396338.2015.1090133.| Steinmo, Sven, Kathleen Thelen, and Frank Longstreth, eds., Structuring Politics: Historical Institutionalism in Comparative Analysis (Cambridge: Cambridge UP 1992).| Talmadge, Caitlin, The Dictator’s Army: Battlefield Effectiveness in Authoritarian Regimes (Ithaca, NY: Cornell UP 2015).| Terriff, Terry, Frans Osinga, and Theo Farrell, A Transformation Gap? American Innovations and European Military Change (Stanford: Stanford UP 2010).| Toohey, Major General Kathryn, ’Challenge and Opportunity: Robotics and Autonomy as Part of Future Land Warfare’, United Service 69/4 (2018), 9–12.| UK Ministry of Defence, Joint Concept Note 2/17: Future of Command and Control (Shrivenham: Development, Concepts and Doctrine Centre 2017).| UK Ministry of Defence, Joint Concept Note 1/18: Human-Machine Teaming (Shrivenham: Development, Concepts and Doctrine Centre 2018).| US Army, Robotic and Autonomous Systems Strategy (Fort Eustis, VA: U.S. Army Training and Doctrine Command 2017).| Watling, Jack and Sidharth Kaushal, ‘The Democratisation of Precision Strike in the Nagorno-Karabakh Conflict’, RUSI Commentary, 22 Oct. 2020. https://rusi.org/commentary/democratisation-precision-strike-nagorno-karabakh-conflict(open in a new window).| Weiss, Moritz, ’How to Become a First Mover? Mechanisms of Military Innovation and the Development of Drones’, European Journal of International Security 3/2 (2018), 187–210. doi:10.1017/eis.2017.15.| Zisk, Kimberley Marten, Engaging the Enemy: Organization Theory and Soviet Military Innovation, 1955-1991 (Princeton, NJ: Princeton UP 1993). |</t>
  </si>
  <si>
    <t xml:space="preserve">Jornal of Strategic Studies</t>
  </si>
  <si>
    <t xml:space="preserve">From closed to open systems: How the US military services pursue innovation</t>
  </si>
  <si>
    <t xml:space="preserve">Zoe Stanley-Lockman</t>
  </si>
  <si>
    <t xml:space="preserve">Military innovation; emerging technologies; future warfare; US military; strategic competition</t>
  </si>
  <si>
    <t xml:space="preserve">The return to strategic competition affects the US military services differently, but all are contending with the challenge of renewing their military advantage against near-peer, technologically advanced competitors. Commercially driven innovation trends simultaneously challenge the way that the US military manages technology. This article traces the pursuits to institutionalise open innovation practices inside the services to incorporate emerging technologies into their envisaged competitive advantage. Rather than treating the US military as a monolithic entity, this article assesses how new service-level organisations differ in the ways and means they pursue innovation and seeks to explain why those differences persist.</t>
  </si>
  <si>
    <t xml:space="preserve">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|Cote, Owen Reid, Jr., ‘The Politics of Innovative Military Doctrine: The US Navy and Fleet Ballistic Missiles’, Doctoral dissertation, Massachusetts Institute of Technology, Feb. 1996. (Open in a new window)Google Scholar|Cronin, Audrey Kurth, Power to the People: How Open Technological Innovation Is Arming Tomorrow’s Terrorists (Oxford: Oxford UP 2020). (Open in a new window)Google Scholar|Department of the Navy, ‘Unmanned Campaign Network’, 16 Mar. 2021, https://www.navy.mil/Portals/1/Strategic/20210315%20Unmanned%20Campaign_Final_LowRes.pdf?ver=LtCZ-BPlWki6vCBTdgtDMA%3D%3D|DiNapoli, Timothy J., ‘DOD’s Use of Other Transactions for Prototype Projects Has Increased’, Government Accountability Office GAO-20–84, Nov. 2019, https://www.gao.gov/assets/710/702861.pdf|Dunn, Richard L., ‘Other Transactions Contracts: Poorly Understood, Little Used’, National Defense Magazine, 15 May 2017, https://www.nationaldefensemagazine.org/articles/2017/5/15/other-transactions-contracts-poorly-understood-little-used|Easley, Matthew P., ‘Army Artificial Intelligence Task Force (AI-TF)’, US Army Futures Command (2019). https://www.clsac.org/uploads/5/0/6/3/50633811/2019-easley-aiml.pdf|Eckhardt, Jonathan T., Michael P. Ciuchta, and Mason Carpenter, ‘Open Innovation, Information, and Entrepreneurship within Platform Ecosystems’, Strategic Entrepreneurship Journal 12 (2018), 369–91. DOI:10.1002/sej.1298 |Eckstein, Megan, ‘Marine Corps Information Community Growing in Capability, Trying to Find Its Place in Joint Operations’, USNI News, 7 Jan. 2020, https://news.usni.org/2020/01/07/marine-corps-information-community-growing-in-capability-trying-to-find-its-place-in-joint-operations|Eversden, Andrew, ‘The Army AI Task Force Takes on Two ‘Key’ Projects’, C4ISRnet, 10 Jun. 2020, https://www.c4isrnet.com/artificial-intelligence/2020/06/10/the-army-ai-task-force-takes-on-two-key-projects/|Farrell, Theo, Sten Rynning, and Terry Terriff, Transforming Military Power since the Cold War: Britain, France, and the United States, 1991–2012 (Cambridge, UK: Cambridge UP 2013). |Feickert, Andrew and Brendan W. McGarry, ‘The Army’s Modernization Strategy: Congressional Oversight Considerations’, Congressional Research Service, 7 Feb. 2020, https://www.everycrsreport.com/files/20200207_R46216_444d93a212c95fd2fba1a596d520ca263a833307.pdf|Feickert, Andrew, ‘The Army’s Future Combat System (FCS): Background and Issues for Congress’, Congressional Research Services, 5 May 2006, https://www.everycrsreport.com/files/20060505_RL32888_bd0c5e4691669243ba6aacea43a6ce91c182246e.pdf|Fiott, Daniel, ‘A Revolution Too Far? US Defence Innovation, Europe and NATO’s Military-Technological Gap’, Journal of Strategic Studies 40/3 (2017), 417–37. DOI:10.1080/01402390.2016.1176565 |Gansler, Jacques, Democracy’s Arsenal: Creating a Twenty-First Century Defense Industry (Cambridge, MA: MIT UP 2011). |Geurts, James F., ‘The Department of the Navy Fiscal Year 2020 Budget Request for Science and Technology Programs’, House Armed Services Committee, 28 Mar. 2019. https://armedservices.house.gov/_cache/files/c/4/c46d8d7f-cade-4487-bae0-f87943aa205e/5AD8EA25BA971C25EF67C083034A43F2.hhrg-116-as26-wstate-geurtsj-20190328.pdf|Gilli, Andrea and Mauro Gilli, ‘Why China Has Not Caught Up Yet: Military-Technological Superiority and the Limits of Imitation, Reverse Engineering, and Cyber Espionage’, International Security 43/3 ( Winter 2018/19), 141–89. DOI:10.1162/isec_a_00337 |Glavy, Matthew G. and Brett Goldstein, ‘The Battle for Mon Cala: Getting the Military to Deliver Its Own Tech Solutions’, War On The Rocks, 20 Aug. 2020, https://warontherocks.com/2020/08/the-battle-for-mon-cala-getting-the-military-to-deliver-its-own-tech-solutions/|Griffin, Stuart, ‘Military Innovation Studies: Multidisciplinary or Lacking Discipline?’, Journal of Strategic Studies 40/1/2 (2016), 196–224. DOI:10.1080/01402390.2016.1196358 |Grissom, Andrew, ‘The Future of Military Innovation Studies’, Journal of Strategic Studies 29/5 (Oct. 2006), 905–34. DOI:10.1080/01402390600901067. |Haduch, Thomas W., ‘Maintaining the US Army Research, Development and Engineering Command Prototype Integration Facilities’, Defense Acquisition University Press. May 2014, https://www.dau.edu/training/career-development/sscf/Documents/T.%20HaduchSSCF2014SRPOPSECFINAL.pdf|Harper, Jon, ‘Army to Release New Wish List for Optionally Manned Fighting Vehicle’, National Defense Magazine, 19 Feb. 2020, https://www.nationaldefensemagazine.org/articles/2020/2/19/army-to-release-new-wish-list-for-optionally-manned-fighting-vehicle|Horowitz, Michael C., The Diffusion of Military Power: Causes and Consequences for International Politics (Princeton, NJ: Princeton UP 2010). |Horowitz, Michael, ‘Artificial Intelligence, International Competition, and the Balance of Power’, Texas National Security Review 1/3 (May 2018), 36–57. https://tnsr.org/2018/05/artificial-intelligence-international-competition-and-the-balance-of-power/|Kaeser, Hans Ulrich, ‘The Future Combat System: What Future Can The Army Afford?’, Center for Strategic and International Studies, 5 Feb. 2009. Working draft, https://csis-website-prod.s3.amazonaws.com/s3fs-public/legacy_files/files/media/csis/pubs/090205_fcsarmy.pdf|Kenyon, Henry, ‘Rapid App Response: Marines to Embed Development Teams with Deployed Units’, GCN, 6 Feb. 2012, https://gcn.com/articles/2012/02/06/marine-corps-apps-embedded-development-teams.aspx|Kleinholz, Joshua, ‘AFwerX Vegas Opens New Doors to Innovation’, Air Combat Command, 23 Aug. 2017, https://www.acc.af.mil/News/Article-Display/Article/1288094/afwerx-vegas-opens-new-doors-to-innovation/|Kollars, Nina A., ‘War’s Horizon: Soldier-Led Adaptation in Iraq and Vietnam’, Journal of Strategic Studies 38/4 (2015), 529–53. DOI:10.1080/01402390.2014.971947 |Krazit, Tom, ‘How the US Air Force Deployed Kubernetes and Istio on an F-16 in 45 Days’, The New Stack, 24 Dec. 2019, https://thenewstack.io/how-the-u-s-air-force-deployed-kubernetes-and-istio-on-an-f-16-in-45-days/|Lake, Daniel R., The Pursuit of Technological Superiority and the Shrinking American Military (New York, NY: Palgrave MacMillan 2019). |Lavelle, Sean, ‘The Navy’s Kessel Run’, US Naval Institute, 3 Jan. 2019, https://blog.usni.org/posts/2019/01/03/the-navys-kessel-run|Leonard, Herman, et al., ‘SOFWERX: Innovation at US Special Operations Command’, Harvard Business School Case 819–004, Jul. 2018. (Open in a new window)Google Scholar|Lindsay, Jon R., Information Technology and Military Power (Ithaca, NY: Cornell UP 2020). |Lofgren, Eric, ‘The Future of Navy Software Development with Lt. Sean Lavelle,’ Acquisition Talk (1 Apr. 2020). Audio. (Open in a new window)Google Scholar|Lofgren, Eric, ‘The Last Frontier of Acquisition Reform: The Budget Process’, Conference Paper, Proceedings of the Seventeenth Annual Acquisition Research Symposium, 13-14 May 2020. Prepared for the Naval Postgraduate School, Monterey, CA. (Open in a new window)Google Scholar|Mabus, Ray, ‘Harnessing the Navy’s Culture of Innovation’, Naval Science and Technology Future Force Magazine, 7 Apr. 2015, https://futureforce.navylive.dodlive.mil/2015/04/harnessing-the-navys-culture-of-innovation/|Magnuson, Stew, ‘AUSA NEWS: Army Futures Command Breaking Down Barriers’, National Defense Magazine, 16 Oct. 2019, https://www.nationaldefensemagazine.org/articles/2019/10/16/army-futures-command-breaking-down-barriers|Mahnken, Thomas G., Technology and the American Way of War since 1945 (New York, NY: Columbia UP 2008). (Open in a new window)Google Scholar|Mansoor, Peter R. and Williamson Murray, (eds.), The Culture of Military Organizations (Cambridge: UK: Cambridge UP 2019). |Mayfield, Mandy, ‘Army Futures Command Establishes “Software Factory”’, National Defense Magazine, 21 Aug. 2020, https://www.nationaldefensemagazine.org/articles/2020/8/21/army-futures-command-establishes-software-factory|McCain, John, ‘Opening Statement by SASC Chairman John McCain at Hearing on DoD Nominations’, Office of Senator John McCain, 14 Nov. 2017, https://www.mccain.senate.gov/public/index.cfm/floor-statements?ID=05DCC73A-F9F2-44E8-A75F-236003222AF2|McQuade, J. Michael et al., ‘Software Is Never Done: Refactoring the Acquisition Code for Competitive Advantage’, Defense Innovation Board, 3 May 2019, https://media.defense.gov/2019/May/01/2002126690/-1/-1/0/SWAP%20EXECUTIVE%20SUMMARY.PDF|Miller, Jason, ‘Air Force’s game-changing approach to cloud accreditation, Federal News Network’, 30 Jul. 2020, https://federalnewsnetwork.com/ask-the-cio/2020/07/air-forces-game-changing-approach-to-cloud-accreditation/|Mori, Satoru, ‘US Defense Innovation and Artificial Intelligence’, Asia-Pacific Review 25/2 (2018), 16–44. DOI:10.1080/13439006.2018.1545488 |NavalXAgility, ‘Scaling Agility, Navy Doubles Tech Bridge Locations,’ 13 May 2020, https://www.navy.mil/submit/display.asp?story_id=112953|Neller, Robert B., ‘Strategy for Assured Command and Control: Enabling C2 for Tomorrow’s Marine Corps, Today’, US Marine Corps, Mar. 2017, https://www.hqmc.marines.mil/Portals/61/Marine_Corps_Strategy_for_Assured_Command_and_Control_March_2017.pdf?ver=2017-05-30-160731-940|Oakley, Shelby S., ‘Defense Acquisitions Annual Assessment: Drive to Deliver Capabilities Faster Increases Importance of Program Knowledge and Consistent Data for Oversight’, Government Accountability Office, Jun. 2020. https://www.gao.gov/assets/710/707359.pdf|Office of the Secretary of Defense, ‘National Defense Strategy of the United States of America: Sharpening the American Military’s Competitive Edge’, Jan. 2018. (Open in a new window)Google Scholar|Office of the Secretary of the Army, ‘Army Directive 2017–22 (Cross-functional Team Pilot in Support of Materiel Development’, 6 Oct. 2017. (Open in a new window)Google Scholar|Perez, Tony and Adam Welch, ‘AFWERX Spark’, in Brian Maue (ed..), Empowering Next Generation Innovators and Innovations (Arlington, VA: AFWERX 2020), 37–49. https://www.afwerx.af.mil/resources/AFWERX-Book.pdf|Pierce, Terry, ‘The Navy Needs a New Engine of Innovation’, Proceedings Magazine 144/11/1389 (Nov 2018). https://www.usni.org/magazines/proceedings/2018/november/navy-needs-new-engine-innovation|Pierce, Terry, Warfighting and Disruptive Technologies: Disguising Innovation (New York, NY: Frank Cass Publishers 2004). |Pomerleau, Mark, ‘Here’s What the Marines’ Information Command Centers Will Do’, C4ISR.net, 6 Dec. 2019, https://www.c4isrnet.com/information-warfare/2019/12/06/heres-what-the-marines-information-command-centers-will-do/|Pomerleau, Mark, ‘The Air Force Is All in on Software’, C4ISRnet, 12 Aug. 2019, https://www.c4isrnet.com/battlefield-tech/2019/08/12/the-air-force-is-all-in-on-software/|Posen, Barry R., ‘Foreward: Military Doctrine and the Management of Uncertainty’, Journal of Strategic Studies 39/2 (2016), 159–73. DOI:10.1080/01402390.2015.1115042 |Posen, Barry R., The Sources of Military Doctrine: France, Britain, and Germany between the World Wars (Ithaca, NY: Cornell UP 1986). (Open in a new window)Google Scholar|Raska, Michael, ‘The Sixth RMA Wave: Disruption in Military Affairs?’. Journal of Strategic Studies (2020), 1–24. DOI:10.1080/01402390.2020.1848818 |Richardson, John, ‘The Future Navy’, Office of the Chief of Naval Operations, 17 May 2017, https://admin.govexec.com/media/gbc/docs/pdfs_edit/futurenavyfinal.pdf|Roper, Will, ‘Take the Red Pill: _the New Digital Acquisition Reality’, Department of the Air Force, 15 Sept. 2020. (Open in a new window)Google Scholar|Rosen, Stephen Peter, Winning the Next War: Innovation and the Modern Military (Ithaca, NY: Cornell UP 1991). (Open in a new window)Google Scholar|Rosenberg, Barry, ‘Fail Fast, Not Twice: DoD’s Push for Agile Software Development’, Breaking Defense, 20 Jun. 2019, https://breakingdefense.com/2019/06/fail-fast-not-twice-dods-push-for-agile-software-development/|Sapolsky, Harvey M., Polaris System Development: Bureaucratic and Programmatic Success in Government (Cambridge, MA: Harvard UP 1972). |Schmidt, Eric, Robert Work, et al., ‘First Quarter Recommendations’, National Security Commission on Artificial Intelligence (March 2020). (Open in a new window)Google Scholar|Secretary of the Air Force Public Affairs, ‘Inaugural Air Force Pitch Day: New Contracts, New Partners’, 8 Mar. 2019, https://www.af.mil/News/Article-Display/Article/1779609/inaugural-air-force-pitch-day-new-contracts-new-partners/|South, Todd, ‘New Tech from Futures Command ‘Designed, Built, Tested with Soldiers’ to Get It There Faster’, Army Times, 20 Oct. 2019, https://www.armytimes.com/news/your-army/2019/10/21/new-tech-from-futures-command-designed-built-tested-with-soldiers-to-get-it-there-faster/|Spataro, Noah M., ‘FY2018 NIAC Consolidated Report: Lean Startup Approach to Capability Development: Evolving Small Batch Innovation for Dual-use Technologies’, Naval Innovation Advisory Council (1 August 2018). (Open in a new window)Google Scholar|Stavridis, James, ‘CNO’s Decision to Terminate Strategic Studies Group Is Smart — It Used to Be Good but Lately Was Fiddling Around’, Foreign Policy, 8 Apr. 2016, https://foreignpolicy.com/2016/04/08/cnos-decision-to-terminate-strategic-studies-group-is-smart-it-used-to-be-good-but-lately-was-fiddling-around/|Strout, Nathan, ‘The Marine Corps’ 4 Priorities in the Information Environment’, C4ISR.net, 6 Jan. 2020, https://www.c4isrnet.com/information-warfare/2020/01/06/the-marine-corps-4-priorities-in-the-information-environment/|US Department of Defense, ‘Summary of the 2018 Department of Defense Artificial Intelligence Strategy: Harnessing AI to Advance Our Security and Prosperity’, 12 Feb. 2019, https://media.defense.gov/2019/Feb/12/2002088963/-1/-1/1/SUMMARY-OF-DOD-AI-STRATEGY.PDF|Westbrook, Chris and Kathryn Bailey, ‘New Faces and New Tech Provide the Right Mix of Know-how and Speed’, US Army, 18 Jun. 2020, https://www.army.mil/article/236576/new_faces_
and_new_tech_provide_the_right_mix_of_know_how_and_speed|Williams, Lauren C., ‘Gilday Outlines IT Vision for Navy Systems’, FCW, 31 Jul. 2019, https://fcw.com/articles/2019/07/31/gilday-confirmation-cyber-it.aspx|Wirtz, James J., ‘Innovation for Seapower: US Navy Strategy in an Age of Acceleration’, Defense &amp; Security Analysis 36/1 (2020), 88–100. DOI:10.1080/14751798.2020.1712026 |</t>
  </si>
  <si>
    <t xml:space="preserve">4IR technologies in the Israel Defence Forces: blurring traditional boundaries</t>
  </si>
  <si>
    <t xml:space="preserve">Yoram Evron</t>
  </si>
  <si>
    <t xml:space="preserve">Emerging technologies; fourth industrial revolution (4IR); Israel military; Israel Defence Forces (IDF); technology spin-on;military innovation</t>
  </si>
  <si>
    <t xml:space="preserve">This paper explores how Fourth Industrial Revolution (4IR) technologies obscure the traditional boundaries associated with the military realm. As the first examination of the conditions underlying the assimilation of 4IR technologies in Israel’s armed forces, this paper makes several contributions. It expands the knowledge on the military assimilation of 4IR technologies and describes the interaction between military doctrine and technology using current evidence. It also enriches the evolving discussion on the strategic effect of emerging technologies. Finally, it demonstrates how emerging technologies involve neither straightforward spinoff or spin-on processes but a reciprocal transfer of know-how between the military and civilian sectors.</t>
  </si>
  <si>
    <t xml:space="preserve">Adamsky, Dmitry, The Culture of Military Innovation: The Impact of Cultural Factors on the Revolution in Military Affairs in Russia, the US, and Israel (Stanford Stanford University Press 2010). | Blake, Duncan, ‘Military Strategic Use of Outer Space’, in H. Nasu and R. McLaughlin (eds.) New Technologies and the Law of Armed Conflict (Hague: T.M.C. Asser Press 2014), 97–114. | Breznitz, Dan, ‘The Military as a Public Space: The Role of the IDF in the Israeli Software Innovation System’, MIT Working Paper IPC-02-004 (April 2002). | Brzoska, Michael, ‘Trends in Global Military and Civilian Research and Development (R&amp;D) and Their Changing Interface’, Proceedings of the International Seminar on Defence Finance and Economics 19 (2006). | Buzan, Barry and Eric Herring, The Arms Dynamic in World Politics (Boulder Lynne Rienner 1998). | Caspi-Shabbat, Tali and Or Glik, ‘Mahapechat hameida baolam hamivtsai harav-zroi betzahal [The Information Revolution in the IDF’s Multi-arm Operational World]’, Bein Haktavim 18 (2018), 38–47. | Cheung, Tai Ming, Thomas G. Mahnken, and Andrew L. Ross, ‘Frameworks for Analyzing Chinese Defense and Military Innovation’, in Tai Ming Cheung (ed.) Forging China’s Military Might: A New Framework for Assessing Innovation (Baltimore: Johns Hopkins University Press 2014), 15–46. | Chin, Warren, ‘Technology, War and the State: Past, Present and Future’, International Affairs 95/4 (2019), 765–83. doi:10.1093/ia/iiz106 | Eilam, Uzi, Keshet Eilam: hatechnologia hamitkademet [Eilam’s Arc: How Israel Became a Military Technology Powerhouse] (Tel Aviv Yedioth Ahronoth 2011). | Faglin, Gay, ‘Merutz hachidush: Technologiot mishariot vetzvaiyot beemtzaei lehima – nekudat haizun hamatima [The Innovation Race’: Commercial and Military Technologies in Military Systems – The Right Balance] (Haifa Chaikin Chair in Geostrategy 2018). | Fordham, Benjamin O., ‘A Very Sharp Sword: The Influence of Military Capabilities on American Decisions to Use Force’, Journal of Conflict Resolution 48/5 (2004), 632–56. doi:10.1177/0022002704267935 | Freilich, Charles D., Israeli National Security: A New Strategy for an Era of Change (New York Oxford University Press 2018). | Freilich, Charles D., Zion’s Dilemmas: How Israel Makes National Security Policy (Ithaca Cornell University Press 2012). | George, Alexander L., Forceful Persuasion: Coercive Diplomacy as an Alternative to War (Washington, D.C. United States Institute of Peace 1992). | Halevy, Hertzi A., Y. (full names unavailable), ‘Elionut modi’init beidan technologi [Intelligence Superiority in a Digital Era]’, Ma’arachot 477 (April 2018), 26–31. | Hershko, Tzila, ‘‘Haroman mithadesh?’ [Is the Love Affair Starting Over?]’, Ma’arachot 456 (2014), 34–37. | Holley, I. B., Technology and Military Doctrine: Essays on a Challenging Relationship (Maxwell Air University Press 2004). | Honig, Benson, Miri Lerner, and Yoel Raban, ‘Social Capital and the Linkages of High-Tech Companies to the Military Defense System: Is There a Signalling Mechanism?’, Small Business Economics 27/4–5 (2006), 419–37. doi:10.1007/s11187-005-5644-y | Jones, Clive and Yoel Guzansky, ‘Israel’s Relations with the Gulf States: Toward the Emergence of a Tacit Security Regime?’, Contemporary Security Policy 38/3 (2017), 398–419. doi:10.1080/13523260.2017.1292375 | Katz, Yaakov and Amir Bohbot, The Weapon Wizards: How Israel Became a High-Tech Military Superpower (New York: St. Martin’s Press 2017). | Krepinevich, Andrew, ‘Cavalry to Computer: The Pattern of Military Revolutions’, The National Interest 37 (1994), 30–42. | Lehman, Ronald F., ‘Future Technology and Strategic Stability’, in Elbridge A. Colby and Michael S. Gerson (eds.) Strategic Stability: Contending Interpretations (Carlisle: U.S. Army War College Press 2013), 147–99. | Levite, Ariel, Offense and Defense in Israeli Military Doctrine (New York Routledge 2019). | Levy, Yagil, ‘Social Convertibility and Militarism: Evaluations of the Development of Military-Society Relations in Israel in the Early 2000s’, Journal of Political and Military Sociology 31/1 (2003), 71–96. | Marcus, Raphael D., Israel’s Long War with Hezbollah: Military Innovation and Adaptation under Fire (Washington, D.C. Georgetown University Press 2018). | Nah, Liang Tuang, The Fourth Industrial Revolution’s Impact on Smaller Militaries: Boon or Bane? RSIS Working Paper no. 318 (Singapore: S. Rajaratnam School of International Studies 2018). | Nien, Clement Wee, Yong Tay Cheng Chuan, and Ho Jin Peng, ‘At the Leading Edge: The RSAF and the Fourth Industrial Revolution’, Pointer: Journal of the Singapore Armed Forces 44/2 (2018), 1–11. | Posen, Barry R., The Sources of Military Doctrine: France, Britain, and Germany between the World Wars (Ithaca Cornell University Press 1984). | Rabinovich, Itamar and Itai Brun, Israel Facing a New Middle East: In Search of National Security Strategy (Stanford Hoover Institution Press 2017). | Raska, Michael, ‘Strategic Competition for Emerging Military Technologies: Comparative Paths and Patterns’, Prism 8/3 (2019), 64–81. | Sandler, Ronald L. (ed.), Ethics and Emerging Technologies (New York: Palgrave Macmillan 2014) | Schelling, Thomas C., Arms and Influence (New Heaven Yale University Press 2008). | Schulzke, Marcus, ‘Drone Proliferation and the Challenge of Regulating Dual-Use Technologies’, International Studies Review 21/3 (2019), 497–517. doi:10.1093/isr/viy047 | Schwab, Klaus, The Fourth Industrial Revolution (New York Crown Business 2017). | Sechser, Todd S., Neil Narang, and Caitlin Talmadge, ‘Emerging Technologies and Strategic Stability in Peacetime, Crisis, and War’, Journal of Strategic Studies 42/6 (2019), 727–35. doi:10.1080/01402390.2019.1626725 | Sevini, Filippo et al., ‘Emerging Dual-Use Technologies and Global Supply Chain Compliance’, IAEA Symposium on International Safeguards, Vienna, 2018. | Swed, Ori and John S. Butler, ‘Military Capital in the Israeli Hi-tech Industry’, Armed Forces &amp; Society 41/1 (2015), 123–41. doi:10.1177/0095327X13499562 | Tal, Israel, Bitachon leumi: meatim mul rabim [National Security: The Few against the Many] (Tel Aviv Dvir 1996). | Volpe, Tristan A., ‘Dual-use Distinguishability: How 3D-printing Shapes the Security Dilemma for Nuclear Programs’, Journal of Strategic Studies 42/6 (2019), 814–40. doi:10.1080/01402390.2019.1627210 | Watts, Barry D., The Military Use of Space: A Diagnostic Assessment (Washington, DC Center for Strategic and Budgetary Assessments 2001). | Yaakov, Itzhak, Adon klum baribua [The Memoires of Mr. Zero Squared] (Tel Aviv Yedioth Ahronoth 2011). | </t>
  </si>
  <si>
    <t xml:space="preserve">a</t>
  </si>
  <si>
    <t xml:space="preserve">b</t>
  </si>
  <si>
    <t xml:space="preserve">c</t>
  </si>
  <si>
    <t xml:space="preserve">d</t>
  </si>
  <si>
    <r>
      <rPr>
        <sz val="10"/>
        <rFont val="Times New Roman"/>
        <family val="1"/>
      </rPr>
      <t xml:space="preserve">Adams, David et al., ‘SSG Served as an Innovation Incubator,’ US Naval Institute Proceedings 143/4/1370, Apr. 2017, </t>
    </r>
    <r>
      <rPr>
        <sz val="10"/>
        <color rgb="FF0000FF"/>
        <rFont val="Times New Roman"/>
        <family val="1"/>
      </rPr>
      <t xml:space="preserve">https://www.usni.org/magazines/proceedings/2017/april/ssg-served-innovation-incubator(open in a new window)</t>
    </r>
    <r>
      <rPr>
        <sz val="10"/>
        <rFont val="Times New Roman"/>
        <family val="1"/>
      </rPr>
      <t xml:space="preserve"> </t>
    </r>
    <r>
      <rPr>
        <sz val="10"/>
        <color rgb="FF0000FF"/>
        <rFont val="Times New Roman"/>
        <family val="1"/>
      </rPr>
      <t xml:space="preserve">(Open in a new window)Google Scholar</t>
    </r>
  </si>
  <si>
    <t xml:space="preserve">Adams, David et al., ‘SSG Served as an Innovation Incubator,’ US Naval Institute Proceedings 143/4/1370, Apr. 2017, https://www.usni.org/magazines/proceedings/2017/april/ssg-served-innovation-incubator</t>
  </si>
  <si>
    <r>
      <rPr>
        <sz val="10"/>
        <rFont val="Times New Roman"/>
        <family val="1"/>
      </rPr>
      <t xml:space="preserve">Air Force Enterprise Capability Collaboration Team, ‘Air Superiority 2030 Flight Plan’, 26 May 2016, </t>
    </r>
    <r>
      <rPr>
        <sz val="10"/>
        <color rgb="FF0000FF"/>
        <rFont val="Times New Roman"/>
        <family val="1"/>
      </rPr>
      <t xml:space="preserve">https://www.af.mil/Portals/1/documents/airpower/Air%20Superiority%202030%20Flight%20Plan.pdf(open in a new window)</t>
    </r>
    <r>
      <rPr>
        <sz val="10"/>
        <rFont val="Times New Roman"/>
        <family val="1"/>
      </rPr>
      <t xml:space="preserve"> </t>
    </r>
    <r>
      <rPr>
        <sz val="10"/>
        <color rgb="FF0000FF"/>
        <rFont val="Times New Roman"/>
        <family val="1"/>
      </rPr>
      <t xml:space="preserve">(Open in a new window)Google Scholar</t>
    </r>
  </si>
  <si>
    <t xml:space="preserve">Air Force Enterprise Capability Collaboration Team, ‘Air Superiority 2030 Flight Plan’, 26 May 2016, https://www.af.mil/Portals/1/documents/airpower/Air%20Superiority%202030%20Flight%20Plan.pdf</t>
  </si>
  <si>
    <r>
      <rPr>
        <sz val="10"/>
        <rFont val="Times New Roman"/>
        <family val="1"/>
      </rPr>
      <t xml:space="preserve">Amazon Web Services, ‘Readying the Warfighter: US Navy ERP Migrates to AWS’, 22 Jan. 2020, </t>
    </r>
    <r>
      <rPr>
        <sz val="10"/>
        <color rgb="FF0000FF"/>
        <rFont val="Times New Roman"/>
        <family val="1"/>
      </rPr>
      <t xml:space="preserve">https://aws.amazon.com/blogs/publicsector/readying-warfighter-navy-erp-migrates-aws/(open in a new window)</t>
    </r>
    <r>
      <rPr>
        <sz val="10"/>
        <rFont val="Times New Roman"/>
        <family val="1"/>
      </rPr>
      <t xml:space="preserve"> </t>
    </r>
    <r>
      <rPr>
        <sz val="10"/>
        <color rgb="FF0000FF"/>
        <rFont val="Times New Roman"/>
        <family val="1"/>
      </rPr>
      <t xml:space="preserve">(Open in a new window)Google Scholar</t>
    </r>
  </si>
  <si>
    <t xml:space="preserve">Amazon Web Services, ‘Readying the Warfighter: US Navy ERP Migrates to AWS’, 22 Jan. 2020, https://aws.amazon.com/blogs/publicsector/readying-warfighter-navy-erp-migrates-aws/</t>
  </si>
  <si>
    <r>
      <rPr>
        <sz val="10"/>
        <rFont val="Times New Roman"/>
        <family val="1"/>
      </rPr>
      <t xml:space="preserve">Army Futures Command, ‘Command Brief Creating a New Culture of Innovation’, Command Brief, 14 Mar. 2019, </t>
    </r>
    <r>
      <rPr>
        <sz val="10"/>
        <color rgb="FF0000FF"/>
        <rFont val="Times New Roman"/>
        <family val="1"/>
      </rPr>
      <t xml:space="preserve">https://www.slideshare.net/TheNationalGuardBure/army-futures-command(open in a new window)</t>
    </r>
    <r>
      <rPr>
        <sz val="10"/>
        <rFont val="Times New Roman"/>
        <family val="1"/>
      </rPr>
      <t xml:space="preserve"> </t>
    </r>
    <r>
      <rPr>
        <sz val="10"/>
        <color rgb="FF0000FF"/>
        <rFont val="Times New Roman"/>
        <family val="1"/>
      </rPr>
      <t xml:space="preserve">(Open in a new window)Google Scholar</t>
    </r>
  </si>
  <si>
    <t xml:space="preserve">Army Futures Command, ‘Command Brief Creating a New Culture of Innovation’, Command Brief, 14 Mar. 2019, https://www.slideshare.net/TheNationalGuardBure/army-futures-command</t>
  </si>
  <si>
    <r>
      <rPr>
        <sz val="10"/>
        <rFont val="Times New Roman"/>
        <family val="1"/>
      </rPr>
      <t xml:space="preserve">Bell, Patrick and Jan Kallberg, ‘The Death of the Cyber Generalist’, US Army War College War Room, 8 Jun. 2018, </t>
    </r>
    <r>
      <rPr>
        <sz val="10"/>
        <color rgb="FF0000FF"/>
        <rFont val="Times New Roman"/>
        <family val="1"/>
      </rPr>
      <t xml:space="preserve">https://warroom.armywarcollege.edu/articles/death-of-cyber-generalist/(open in a new window)</t>
    </r>
    <r>
      <rPr>
        <sz val="10"/>
        <rFont val="Times New Roman"/>
        <family val="1"/>
      </rPr>
      <t xml:space="preserve"> </t>
    </r>
    <r>
      <rPr>
        <sz val="10"/>
        <color rgb="FF0000FF"/>
        <rFont val="Times New Roman"/>
        <family val="1"/>
      </rPr>
      <t xml:space="preserve">(Open in a new window)Google Scholar</t>
    </r>
  </si>
  <si>
    <t xml:space="preserve">Bell, Patrick and Jan Kallberg, ‘The Death of the Cyber Generalist’, US Army War College War Room, 8 Jun. 2018, https://warroom.armywarcollege.edu/articles/death-of-cyber-generalist/</t>
  </si>
  <si>
    <r>
      <rPr>
        <sz val="10"/>
        <rFont val="Times New Roman"/>
        <family val="1"/>
      </rPr>
      <t xml:space="preserve">Berger, David H., ‘Force Design 2030’, US Marine Corps, Mar. 2020. </t>
    </r>
    <r>
      <rPr>
        <sz val="10"/>
        <color rgb="FF0000FF"/>
        <rFont val="Times New Roman"/>
        <family val="1"/>
      </rPr>
      <t xml:space="preserve">(Open in a new window)Google Scholar</t>
    </r>
  </si>
  <si>
    <t xml:space="preserve">Berger, David H., ‘Force Design 2030’, US Marine Corps, Mar. 2020. (Open in a new window)Google Scholar</t>
  </si>
  <si>
    <r>
      <rPr>
        <sz val="10"/>
        <rFont val="Times New Roman"/>
        <family val="1"/>
      </rPr>
      <t xml:space="preserve">Brynjolfsson, Erik and Andrew McAfee, The Second Machine Age: Work, Progress, and Prosperity in a Time of Brilliant Technologies (New York, NY: W. W. Norton &amp; Company 2014). </t>
    </r>
    <r>
      <rPr>
        <sz val="10"/>
        <color rgb="FF0000FF"/>
        <rFont val="Times New Roman"/>
        <family val="1"/>
      </rPr>
      <t xml:space="preserve">(Open in a new window)Google Scholar</t>
    </r>
  </si>
  <si>
    <t xml:space="preserve">Brynjolfsson, Erik and Andrew McAfee, The Second Machine Age: Work, Progress, and Prosperity in a Time of Brilliant Technologies (New York, NY: W. W. Norton &amp; Company 2014). (Open in a new window)Google Scholar</t>
  </si>
  <si>
    <t xml:space="preserve">Builder, Carl H., The Masks of War: American Military Styles in Strategy and Analysis (Baltimore, MD: Johns Hopkins UP 1989). </t>
  </si>
  <si>
    <r>
      <rPr>
        <sz val="10"/>
        <rFont val="Times New Roman"/>
        <family val="1"/>
      </rPr>
      <t xml:space="preserve">Carnicelli, Teri, ‘Fathomwerx Lab Designated Ventura Tech Bridge for Navy’s NavalX Network’, Naval Sea Systems Command, 14 May 2020, </t>
    </r>
    <r>
      <rPr>
        <sz val="10"/>
        <color rgb="FF0000FF"/>
        <rFont val="Times New Roman"/>
        <family val="1"/>
      </rPr>
      <t xml:space="preserve">https://www.navsea.navy.mil/Media/News/SavedNewsModule/Article/2187535/fathomwerx-lab-designated-ventura-tech-bridge-for-navys-navalx-network/(open in a new window)</t>
    </r>
    <r>
      <rPr>
        <sz val="10"/>
        <rFont val="Times New Roman"/>
        <family val="1"/>
      </rPr>
      <t xml:space="preserve"> </t>
    </r>
    <r>
      <rPr>
        <sz val="10"/>
        <color rgb="FF0000FF"/>
        <rFont val="Times New Roman"/>
        <family val="1"/>
      </rPr>
      <t xml:space="preserve">(Open in a new window)Google Scholar</t>
    </r>
  </si>
  <si>
    <t xml:space="preserve">Carnicelli, Teri, ‘Fathomwerx Lab Designated Ventura Tech Bridge for Navy’s NavalX Network’, Naval Sea Systems Command, 14 May 2020, https://www.navsea.navy.mil/Media/News/SavedNewsModule/Article/2187535/fathomwerx-lab-designated-ventura-tech-bridge-for-navys-navalx-network/</t>
  </si>
  <si>
    <r>
      <rPr>
        <sz val="10"/>
        <rFont val="Times New Roman"/>
        <family val="1"/>
      </rPr>
      <t xml:space="preserve">Cebul, Daniel, ‘Office of Naval Research Launches Program to Speed up Innovation’, Defense News, 2 Apr. 2018, </t>
    </r>
    <r>
      <rPr>
        <sz val="10"/>
        <color rgb="FF0000FF"/>
        <rFont val="Times New Roman"/>
        <family val="1"/>
      </rPr>
      <t xml:space="preserve">https://www.defensenews.com/digital-show-dailies/navy-league/2018/04/02/office-of-naval-research-launches-program-to-speed-up-innovation/(open in a new window)</t>
    </r>
    <r>
      <rPr>
        <sz val="10"/>
        <rFont val="Times New Roman"/>
        <family val="1"/>
      </rPr>
      <t xml:space="preserve"> </t>
    </r>
    <r>
      <rPr>
        <sz val="10"/>
        <color rgb="FF0000FF"/>
        <rFont val="Times New Roman"/>
        <family val="1"/>
      </rPr>
      <t xml:space="preserve">(Open in a new window)Google Scholar</t>
    </r>
  </si>
  <si>
    <t xml:space="preserve">Cebul, Daniel, ‘Office of Naval Research Launches Program to Speed up Innovation’, Defense News, 2 Apr. 2018, https://www.defensenews.com/digital-show-dailies/navy-league/2018/04/02/office-of-naval-research-launches-program-to-speed-up-innovation/</t>
  </si>
  <si>
    <r>
      <rPr>
        <sz val="10"/>
        <rFont val="Times New Roman"/>
        <family val="1"/>
      </rPr>
      <t xml:space="preserve">Chaillan, Nicolas, ‘Software Factories’, US Air Force Chief Software Office, 2020. Last accessed 11 Oct. 2020. </t>
    </r>
    <r>
      <rPr>
        <sz val="10"/>
        <color rgb="FF0000FF"/>
        <rFont val="Times New Roman"/>
        <family val="1"/>
      </rPr>
      <t xml:space="preserve">https://software.af.mil/software-factories/(open in a new window)</t>
    </r>
    <r>
      <rPr>
        <sz val="10"/>
        <rFont val="Times New Roman"/>
        <family val="1"/>
      </rPr>
      <t xml:space="preserve"> </t>
    </r>
    <r>
      <rPr>
        <sz val="10"/>
        <color rgb="FF0000FF"/>
        <rFont val="Times New Roman"/>
        <family val="1"/>
      </rPr>
      <t xml:space="preserve">(Open in a new window)Google Scholar</t>
    </r>
  </si>
  <si>
    <t xml:space="preserve">Chaillan, Nicolas, ‘Software Factories’, US Air Force Chief Software Office, 2020. Last accessed 11 Oct. 2020. https://software.af.mil/software-factories/</t>
  </si>
  <si>
    <r>
      <rPr>
        <sz val="10"/>
        <rFont val="Times New Roman"/>
        <family val="1"/>
      </rPr>
      <t xml:space="preserve">Chesbrough, Henry, Open Innovation: The New Imperative for Creating and Profiting from Technology (Boston, MA: Harvard Business School Press 2003). </t>
    </r>
    <r>
      <rPr>
        <sz val="10"/>
        <color rgb="FF0000FF"/>
        <rFont val="Times New Roman"/>
        <family val="1"/>
      </rPr>
      <t xml:space="preserve">(Open in a new window)Google Scholar</t>
    </r>
  </si>
  <si>
    <t xml:space="preserve">Chesbrough, Henry, Open Innovation: The New Imperative for Creating and Profiting from Technology (Boston, MA: Harvard Business School Press 2003). (Open in a new window)Google Scholar</t>
  </si>
  <si>
    <t xml:space="preserve">Cheung, Tai Ming, ‘Innovation in China’s Defense Technology Base: Foreign Technology and Military Capabilities’, Journal of Strategic Studies 39/5–6 (2016), 728–61. DOI:10.1080/01402390.2016.1208612 </t>
  </si>
  <si>
    <r>
      <rPr>
        <sz val="10"/>
        <rFont val="Times New Roman"/>
        <family val="1"/>
      </rPr>
      <t xml:space="preserve">Cote, Owen Reid, Jr., ‘The Politics of Innovative Military Doctrine: The US Navy and Fleet Ballistic Missiles’, Doctoral dissertation, Massachusetts Institute of Technology, Feb. 1996. </t>
    </r>
    <r>
      <rPr>
        <sz val="10"/>
        <color rgb="FF0000FF"/>
        <rFont val="Times New Roman"/>
        <family val="1"/>
      </rPr>
      <t xml:space="preserve">(Open in a new window)Google Scholar</t>
    </r>
  </si>
  <si>
    <t xml:space="preserve">Cote, Owen Reid, Jr., ‘The Politics of Innovative Military Doctrine: The US Navy and Fleet Ballistic Missiles’, Doctoral dissertation, Massachusetts Institute of Technology, Feb. 1996. (Open in a new window)Google Scholar</t>
  </si>
  <si>
    <r>
      <rPr>
        <sz val="10"/>
        <rFont val="Times New Roman"/>
        <family val="1"/>
      </rPr>
      <t xml:space="preserve">Cronin, Audrey Kurth, Power to the People: How Open Technological Innovation Is Arming Tomorrow’s Terrorists (Oxford: Oxford UP 2020). </t>
    </r>
    <r>
      <rPr>
        <sz val="10"/>
        <color rgb="FF0000FF"/>
        <rFont val="Times New Roman"/>
        <family val="1"/>
      </rPr>
      <t xml:space="preserve">(Open in a new window)Google Scholar</t>
    </r>
  </si>
  <si>
    <t xml:space="preserve">Cronin, Audrey Kurth, Power to the People: How Open Technological Innovation Is Arming Tomorrow’s Terrorists (Oxford: Oxford UP 2020). (Open in a new window)Google Scholar</t>
  </si>
  <si>
    <r>
      <rPr>
        <sz val="10"/>
        <rFont val="Times New Roman"/>
        <family val="1"/>
      </rPr>
      <t xml:space="preserve">Department of the Navy, ‘Unmanned Campaign Network’, 16 Mar. 2021, </t>
    </r>
    <r>
      <rPr>
        <sz val="10"/>
        <color rgb="FF0000FF"/>
        <rFont val="Times New Roman"/>
        <family val="1"/>
      </rPr>
      <t xml:space="preserve">https://www.navy.mil/Portals/1/Strategic/20210315%20Unmanned%20Campaign_Final_LowRes.pdf?ver=LtCZ-BPlWki6vCBTdgtDMA%3D%3D(open in a new window)</t>
    </r>
    <r>
      <rPr>
        <sz val="10"/>
        <rFont val="Times New Roman"/>
        <family val="1"/>
      </rPr>
      <t xml:space="preserve"> </t>
    </r>
    <r>
      <rPr>
        <sz val="10"/>
        <color rgb="FF0000FF"/>
        <rFont val="Times New Roman"/>
        <family val="1"/>
      </rPr>
      <t xml:space="preserve">(Open in a new window)Google Scholar</t>
    </r>
  </si>
  <si>
    <t xml:space="preserve">Department of the Navy, ‘Unmanned Campaign Network’, 16 Mar. 2021, https://www.navy.mil/Portals/1/Strategic/20210315%20Unmanned%20Campaign_Final_LowRes.pdf?ver=LtCZ-BPlWki6vCBTdgtDMA%3D%3D</t>
  </si>
  <si>
    <r>
      <rPr>
        <sz val="10"/>
        <rFont val="Times New Roman"/>
        <family val="1"/>
      </rPr>
      <t xml:space="preserve">DiNapoli, Timothy J., ‘DOD’s Use of Other Transactions for Prototype Projects Has Increased’, Government Accountability Office GAO-20–84, Nov. 2019, </t>
    </r>
    <r>
      <rPr>
        <sz val="10"/>
        <color rgb="FF0000FF"/>
        <rFont val="Times New Roman"/>
        <family val="1"/>
      </rPr>
      <t xml:space="preserve">https://www.gao.gov/assets/710/702861.pdf(open in a new window)</t>
    </r>
    <r>
      <rPr>
        <sz val="10"/>
        <rFont val="Times New Roman"/>
        <family val="1"/>
      </rPr>
      <t xml:space="preserve"> </t>
    </r>
    <r>
      <rPr>
        <sz val="10"/>
        <color rgb="FF0000FF"/>
        <rFont val="Times New Roman"/>
        <family val="1"/>
      </rPr>
      <t xml:space="preserve">(Open in a new window)Google Scholar</t>
    </r>
  </si>
  <si>
    <t xml:space="preserve">DiNapoli, Timothy J., ‘DOD’s Use of Other Transactions for Prototype Projects Has Increased’, Government Accountability Office GAO-20–84, Nov. 2019, https://www.gao.gov/assets/710/702861.pdf</t>
  </si>
  <si>
    <r>
      <rPr>
        <sz val="10"/>
        <rFont val="Times New Roman"/>
        <family val="1"/>
      </rPr>
      <t xml:space="preserve">Dunn, Richard L., ‘Other Transactions Contracts: Poorly Understood, Little Used’, National Defense Magazine, 15 May 2017, </t>
    </r>
    <r>
      <rPr>
        <sz val="10"/>
        <color rgb="FF0000FF"/>
        <rFont val="Times New Roman"/>
        <family val="1"/>
      </rPr>
      <t xml:space="preserve">https://www.nationaldefensemagazine.org/articles/2017/5/15/other-transactions-contracts-poorly-understood-little-used(open in a new window)</t>
    </r>
    <r>
      <rPr>
        <sz val="10"/>
        <rFont val="Times New Roman"/>
        <family val="1"/>
      </rPr>
      <t xml:space="preserve"> </t>
    </r>
    <r>
      <rPr>
        <sz val="10"/>
        <color rgb="FF0000FF"/>
        <rFont val="Times New Roman"/>
        <family val="1"/>
      </rPr>
      <t xml:space="preserve">(Open in a new window)Google Scholar</t>
    </r>
  </si>
  <si>
    <t xml:space="preserve">Dunn, Richard L., ‘Other Transactions Contracts: Poorly Understood, Little Used’, National Defense Magazine, 15 May 2017, https://www.nationaldefensemagazine.org/articles/2017/5/15/other-transactions-contracts-poorly-understood-little-used</t>
  </si>
  <si>
    <r>
      <rPr>
        <sz val="10"/>
        <rFont val="Times New Roman"/>
        <family val="1"/>
      </rPr>
      <t xml:space="preserve">Easley, Matthew P., ‘Army Artificial Intelligence Task Force (AI-TF)’, US Army Futures Command (2019). </t>
    </r>
    <r>
      <rPr>
        <sz val="10"/>
        <color rgb="FF0000FF"/>
        <rFont val="Times New Roman"/>
        <family val="1"/>
      </rPr>
      <t xml:space="preserve">https://www.clsac.org/uploads/5/0/6/3/50633811/2019-easley-aiml.pdf(open in a new window)</t>
    </r>
    <r>
      <rPr>
        <sz val="10"/>
        <rFont val="Times New Roman"/>
        <family val="1"/>
      </rPr>
      <t xml:space="preserve"> </t>
    </r>
    <r>
      <rPr>
        <sz val="10"/>
        <color rgb="FF0000FF"/>
        <rFont val="Times New Roman"/>
        <family val="1"/>
      </rPr>
      <t xml:space="preserve">(Open in a new window)Google Scholar</t>
    </r>
  </si>
  <si>
    <t xml:space="preserve">Easley, Matthew P., ‘Army Artificial Intelligence Task Force (AI-TF)’, US Army Futures Command (2019). https://www.clsac.org/uploads/5/0/6/3/50633811/2019-easley-aiml.pdf</t>
  </si>
  <si>
    <t xml:space="preserve">Eckhardt, Jonathan T., Michael P. Ciuchta, and Mason Carpenter, ‘Open Innovation, Information, and Entrepreneurship within Platform Ecosystems’, Strategic Entrepreneurship Journal 12 (2018), 369–91. DOI:10.1002/sej.1298 </t>
  </si>
  <si>
    <r>
      <rPr>
        <sz val="10"/>
        <rFont val="Times New Roman"/>
        <family val="1"/>
      </rPr>
      <t xml:space="preserve">Eckstein, Megan, ‘Marine Corps Information Community Growing in Capability, Trying to Find Its Place in Joint Operations’, USNI News, 7 Jan. 2020, </t>
    </r>
    <r>
      <rPr>
        <sz val="10"/>
        <color rgb="FF0000FF"/>
        <rFont val="Times New Roman"/>
        <family val="1"/>
      </rPr>
      <t xml:space="preserve">https://news.usni.org/2020/01/07/marine-corps-information-community-growing-in-capability-trying-to-find-its-place-in-joint-operations(open in a new window)</t>
    </r>
    <r>
      <rPr>
        <sz val="10"/>
        <rFont val="Times New Roman"/>
        <family val="1"/>
      </rPr>
      <t xml:space="preserve"> </t>
    </r>
    <r>
      <rPr>
        <sz val="10"/>
        <color rgb="FF0000FF"/>
        <rFont val="Times New Roman"/>
        <family val="1"/>
      </rPr>
      <t xml:space="preserve">(Open in a new window)Google Scholar</t>
    </r>
  </si>
  <si>
    <t xml:space="preserve">Eckstein, Megan, ‘Marine Corps Information Community Growing in Capability, Trying to Find Its Place in Joint Operations’, USNI News, 7 Jan. 2020, https://news.usni.org/2020/01/07/marine-corps-information-community-growing-in-capability-trying-to-find-its-place-in-joint-operations</t>
  </si>
  <si>
    <r>
      <rPr>
        <sz val="10"/>
        <rFont val="Times New Roman"/>
        <family val="1"/>
      </rPr>
      <t xml:space="preserve">Eversden, Andrew, ‘The Army AI Task Force Takes on Two ‘Key’ Projects’, C4ISRnet, 10 Jun. 2020, </t>
    </r>
    <r>
      <rPr>
        <sz val="10"/>
        <color rgb="FF0000FF"/>
        <rFont val="Times New Roman"/>
        <family val="1"/>
      </rPr>
      <t xml:space="preserve">https://www.c4isrnet.com/artificial-intelligence/2020/06/10/the-army-ai-task-force-takes-on-two-key-projects/(open in a new window)</t>
    </r>
    <r>
      <rPr>
        <sz val="10"/>
        <rFont val="Times New Roman"/>
        <family val="1"/>
      </rPr>
      <t xml:space="preserve"> </t>
    </r>
    <r>
      <rPr>
        <sz val="10"/>
        <color rgb="FF0000FF"/>
        <rFont val="Times New Roman"/>
        <family val="1"/>
      </rPr>
      <t xml:space="preserve">(Open in a new window)Google Scholar</t>
    </r>
  </si>
  <si>
    <t xml:space="preserve">Eversden, Andrew, ‘The Army AI Task Force Takes on Two ‘Key’ Projects’, C4ISRnet, 10 Jun. 2020, https://www.c4isrnet.com/artificial-intelligence/2020/06/10/the-army-ai-task-force-takes-on-two-key-projects/</t>
  </si>
  <si>
    <t xml:space="preserve">Farrell, Theo, Sten Rynning, and Terry Terriff, Transforming Military Power since the Cold War: Britain, France, and the United States, 1991–2012 (Cambridge, UK: Cambridge UP 2013). </t>
  </si>
  <si>
    <r>
      <rPr>
        <sz val="10"/>
        <rFont val="Times New Roman"/>
        <family val="1"/>
      </rPr>
      <t xml:space="preserve">Feickert, Andrew and Brendan W. McGarry, ‘The Army’s Modernization Strategy: Congressional Oversight Considerations’, Congressional Research Service, 7 Feb. 2020, </t>
    </r>
    <r>
      <rPr>
        <sz val="10"/>
        <color rgb="FF0000FF"/>
        <rFont val="Times New Roman"/>
        <family val="1"/>
      </rPr>
      <t xml:space="preserve">https://www.everycrsreport.com/files/20200207_R46216_444d93a212c95fd2fba1a596d520ca263a833307.pdf(open in a new window)</t>
    </r>
    <r>
      <rPr>
        <sz val="10"/>
        <rFont val="Times New Roman"/>
        <family val="1"/>
      </rPr>
      <t xml:space="preserve"> </t>
    </r>
    <r>
      <rPr>
        <sz val="10"/>
        <color rgb="FF0000FF"/>
        <rFont val="Times New Roman"/>
        <family val="1"/>
      </rPr>
      <t xml:space="preserve">(Open in a new window)Google Scholar</t>
    </r>
  </si>
  <si>
    <t xml:space="preserve">Feickert, Andrew and Brendan W. McGarry, ‘The Army’s Modernization Strategy: Congressional Oversight Considerations’, Congressional Research Service, 7 Feb. 2020, https://www.everycrsreport.com/files/20200207_R46216_444d93a212c95fd2fba1a596d520ca263a833307.pdf</t>
  </si>
  <si>
    <r>
      <rPr>
        <sz val="10"/>
        <rFont val="Times New Roman"/>
        <family val="1"/>
      </rPr>
      <t xml:space="preserve">Feickert, Andrew, ‘The Army’s Future Combat System (FCS): Background and Issues for Congress’, Congressional Research Services, 5 May 2006, </t>
    </r>
    <r>
      <rPr>
        <sz val="10"/>
        <color rgb="FF0000FF"/>
        <rFont val="Times New Roman"/>
        <family val="1"/>
      </rPr>
      <t xml:space="preserve">https://www.everycrsreport.com/files/20060505_RL32888_bd0c5e4691669243ba6aacea43a6ce91c182246e.pdf(open in a new window)</t>
    </r>
    <r>
      <rPr>
        <sz val="10"/>
        <rFont val="Times New Roman"/>
        <family val="1"/>
      </rPr>
      <t xml:space="preserve"> </t>
    </r>
    <r>
      <rPr>
        <sz val="10"/>
        <color rgb="FF0000FF"/>
        <rFont val="Times New Roman"/>
        <family val="1"/>
      </rPr>
      <t xml:space="preserve">(Open in a new window)Google Scholar</t>
    </r>
  </si>
  <si>
    <t xml:space="preserve">Feickert, Andrew, ‘The Army’s Future Combat System (FCS): Background and Issues for Congress’, Congressional Research Services, 5 May 2006, https://www.everycrsreport.com/files/20060505_RL32888_bd0c5e4691669243ba6aacea43a6ce91c182246e.pdf</t>
  </si>
  <si>
    <t xml:space="preserve">Fiott, Daniel, ‘A Revolution Too Far? US Defence Innovation, Europe and NATO’s Military-Technological Gap’, Journal of Strategic Studies 40/3 (2017), 417–37. DOI:10.1080/01402390.2016.1176565 </t>
  </si>
  <si>
    <t xml:space="preserve">Gansler, Jacques, Democracy’s Arsenal: Creating a Twenty-First Century Defense Industry (Cambridge, MA: MIT UP 2011). </t>
  </si>
  <si>
    <r>
      <rPr>
        <sz val="10"/>
        <rFont val="Times New Roman"/>
        <family val="1"/>
      </rPr>
      <t xml:space="preserve">Geurts, James F., ‘The Department of the Navy Fiscal Year 2020 Budget Request for Science and Technology Programs’, House Armed Services Committee, 28 Mar. 2019. </t>
    </r>
    <r>
      <rPr>
        <sz val="10"/>
        <color rgb="FF0000FF"/>
        <rFont val="Times New Roman"/>
        <family val="1"/>
      </rPr>
      <t xml:space="preserve">https://armedservices.house.gov/_cache/files/c/4/c46d8d7f-cade-4487-bae0-f87943aa205e/5AD8EA25BA971C25EF67C083034A43F2.hhrg-116-as26-wstate-geurtsj-20190328.pdf(open in a new window)</t>
    </r>
    <r>
      <rPr>
        <sz val="10"/>
        <rFont val="Times New Roman"/>
        <family val="1"/>
      </rPr>
      <t xml:space="preserve"> </t>
    </r>
    <r>
      <rPr>
        <sz val="10"/>
        <color rgb="FF0000FF"/>
        <rFont val="Times New Roman"/>
        <family val="1"/>
      </rPr>
      <t xml:space="preserve">(Open in a new window)Google Scholar</t>
    </r>
  </si>
  <si>
    <t xml:space="preserve">Geurts, James F., ‘The Department of the Navy Fiscal Year 2020 Budget Request for Science and Technology Programs’, House Armed Services Committee, 28 Mar. 2019. https://armedservices.house.gov/_cache/files/c/4/c46d8d7f-cade-4487-bae0-f87943aa205e/5AD8EA25BA971C25EF67C083034A43F2.hhrg-116-as26-wstate-geurtsj-20190328.pdf</t>
  </si>
  <si>
    <t xml:space="preserve">Gilli, Andrea and Mauro Gilli, ‘Why China Has Not Caught Up Yet: Military-Technological Superiority and the Limits of Imitation, Reverse Engineering, and Cyber Espionage’, International Security 43/3 ( Winter 2018/19), 141–89. DOI:10.1162/isec_a_00337 </t>
  </si>
  <si>
    <r>
      <rPr>
        <sz val="10"/>
        <rFont val="Times New Roman"/>
        <family val="1"/>
      </rPr>
      <t xml:space="preserve">Glavy, Matthew G. and Brett Goldstein, ‘The Battle for Mon Cala: Getting the Military to Deliver Its Own Tech Solutions’, War On The Rocks, 20 Aug. 2020, </t>
    </r>
    <r>
      <rPr>
        <sz val="10"/>
        <color rgb="FF0000FF"/>
        <rFont val="Times New Roman"/>
        <family val="1"/>
      </rPr>
      <t xml:space="preserve">https://warontherocks.com/2020/08/the-battle-for-mon-cala-getting-the-military-to-deliver-its-own-tech-solutions/(open in a new window)</t>
    </r>
    <r>
      <rPr>
        <sz val="10"/>
        <rFont val="Times New Roman"/>
        <family val="1"/>
      </rPr>
      <t xml:space="preserve"> </t>
    </r>
    <r>
      <rPr>
        <sz val="10"/>
        <color rgb="FF0000FF"/>
        <rFont val="Times New Roman"/>
        <family val="1"/>
      </rPr>
      <t xml:space="preserve">(Open in a new window)Google Scholar</t>
    </r>
  </si>
  <si>
    <t xml:space="preserve">Glavy, Matthew G. and Brett Goldstein, ‘The Battle for Mon Cala: Getting the Military to Deliver Its Own Tech Solutions’, War On The Rocks, 20 Aug. 2020, https://warontherocks.com/2020/08/the-battle-for-mon-cala-getting-the-military-to-deliver-its-own-tech-solutions/</t>
  </si>
  <si>
    <t xml:space="preserve">Griffin, Stuart, ‘Military Innovation Studies: Multidisciplinary or Lacking Discipline?’, Journal of Strategic Studies 40/1/2 (2016), 196–224. DOI:10.1080/01402390.2016.1196358 </t>
  </si>
  <si>
    <t xml:space="preserve">Grissom, Andrew, ‘The Future of Military Innovation Studies’, Journal of Strategic Studies 29/5 (Oct. 2006), 905–34. DOI:10.1080/01402390600901067. </t>
  </si>
  <si>
    <r>
      <rPr>
        <sz val="10"/>
        <rFont val="Times New Roman"/>
        <family val="1"/>
      </rPr>
      <t xml:space="preserve">Haduch, Thomas W., ‘Maintaining the US Army Research, Development and Engineering Command Prototype Integration Facilities’, Defense Acquisition University Press. May 2014, </t>
    </r>
    <r>
      <rPr>
        <sz val="10"/>
        <color rgb="FF0000FF"/>
        <rFont val="Times New Roman"/>
        <family val="1"/>
      </rPr>
      <t xml:space="preserve">https://www.dau.edu/training/career-development/sscf/Documents/T.%20HaduchSSCF2014SRPOPSECFINAL.pdf(open in a new window)</t>
    </r>
    <r>
      <rPr>
        <sz val="10"/>
        <rFont val="Times New Roman"/>
        <family val="1"/>
      </rPr>
      <t xml:space="preserve"> </t>
    </r>
    <r>
      <rPr>
        <sz val="10"/>
        <color rgb="FF0000FF"/>
        <rFont val="Times New Roman"/>
        <family val="1"/>
      </rPr>
      <t xml:space="preserve">(Open in a new window)Google Scholar</t>
    </r>
  </si>
  <si>
    <t xml:space="preserve">Haduch, Thomas W., ‘Maintaining the US Army Research, Development and Engineering Command Prototype Integration Facilities’, Defense Acquisition University Press. May 2014, https://www.dau.edu/training/career-development/sscf/Documents/T.%20HaduchSSCF2014SRPOPSECFINAL.pdf</t>
  </si>
  <si>
    <r>
      <rPr>
        <sz val="10"/>
        <rFont val="Times New Roman"/>
        <family val="1"/>
      </rPr>
      <t xml:space="preserve">Harper, Jon, ‘Army to Release New Wish List for Optionally Manned Fighting Vehicle’, National Defense Magazine, 19 Feb. 2020, </t>
    </r>
    <r>
      <rPr>
        <sz val="10"/>
        <color rgb="FF0000FF"/>
        <rFont val="Times New Roman"/>
        <family val="1"/>
      </rPr>
      <t xml:space="preserve">https://www.nationaldefensemagazine.org/articles/2020/2/19/army-to-release-new-wish-list-for-optionally-manned-fighting-vehicle(open in a new window)</t>
    </r>
    <r>
      <rPr>
        <sz val="10"/>
        <rFont val="Times New Roman"/>
        <family val="1"/>
      </rPr>
      <t xml:space="preserve"> </t>
    </r>
    <r>
      <rPr>
        <sz val="10"/>
        <color rgb="FF0000FF"/>
        <rFont val="Times New Roman"/>
        <family val="1"/>
      </rPr>
      <t xml:space="preserve">(Open in a new window)Google Scholar</t>
    </r>
  </si>
  <si>
    <t xml:space="preserve">Harper, Jon, ‘Army to Release New Wish List for Optionally Manned Fighting Vehicle’, National Defense Magazine, 19 Feb. 2020, https://www.nationaldefensemagazine.org/articles/2020/2/19/army-to-release-new-wish-list-for-optionally-manned-fighting-vehicle</t>
  </si>
  <si>
    <t xml:space="preserve">Horowitz, Michael C., The Diffusion of Military Power: Causes and Consequences for International Politics (Princeton, NJ: Princeton UP 2010). </t>
  </si>
  <si>
    <r>
      <rPr>
        <sz val="10"/>
        <rFont val="Times New Roman"/>
        <family val="1"/>
      </rPr>
      <t xml:space="preserve">Horowitz, Michael, ‘Artificial Intelligence, International Competition, and the Balance of Power’, Texas National Security Review 1/3 (May 2018), 36–57. </t>
    </r>
    <r>
      <rPr>
        <sz val="10"/>
        <color rgb="FF0000FF"/>
        <rFont val="Times New Roman"/>
        <family val="1"/>
      </rPr>
      <t xml:space="preserve">https://tnsr.org/2018/05/artificial-intelligence-international-competition-and-the-balance-of-power/(open in a new window)</t>
    </r>
    <r>
      <rPr>
        <sz val="10"/>
        <rFont val="Times New Roman"/>
        <family val="1"/>
      </rPr>
      <t xml:space="preserve"> </t>
    </r>
    <r>
      <rPr>
        <sz val="10"/>
        <color rgb="FF0000FF"/>
        <rFont val="Times New Roman"/>
        <family val="1"/>
      </rPr>
      <t xml:space="preserve">(Open in a new window)Google Scholar</t>
    </r>
  </si>
  <si>
    <t xml:space="preserve">Horowitz, Michael, ‘Artificial Intelligence, International Competition, and the Balance of Power’, Texas National Security Review 1/3 (May 2018), 36–57. https://tnsr.org/2018/05/artificial-intelligence-international-competition-and-the-balance-of-power/</t>
  </si>
  <si>
    <r>
      <rPr>
        <sz val="10"/>
        <rFont val="Times New Roman"/>
        <family val="1"/>
      </rPr>
      <t xml:space="preserve">Kaeser, Hans Ulrich, ‘The Future Combat System: What Future Can The Army Afford?’, Center for Strategic and International Studies, 5 Feb. 2009. Working draft, </t>
    </r>
    <r>
      <rPr>
        <sz val="10"/>
        <color rgb="FF0000FF"/>
        <rFont val="Times New Roman"/>
        <family val="1"/>
      </rPr>
      <t xml:space="preserve">https://csis-website-prod.s3.amazonaws.com/s3fs-public/legacy_files/files/media/csis/pubs/090205_fcsarmy.pdf(open in a new window)</t>
    </r>
    <r>
      <rPr>
        <sz val="10"/>
        <rFont val="Times New Roman"/>
        <family val="1"/>
      </rPr>
      <t xml:space="preserve"> </t>
    </r>
    <r>
      <rPr>
        <sz val="10"/>
        <color rgb="FF0000FF"/>
        <rFont val="Times New Roman"/>
        <family val="1"/>
      </rPr>
      <t xml:space="preserve">(Open in a new window)Google Scholar</t>
    </r>
  </si>
  <si>
    <t xml:space="preserve">Kaeser, Hans Ulrich, ‘The Future Combat System: What Future Can The Army Afford?’, Center for Strategic and International Studies, 5 Feb. 2009. Working draft, https://csis-website-prod.s3.amazonaws.com/s3fs-public/legacy_files/files/media/csis/pubs/090205_fcsarmy.pdf</t>
  </si>
  <si>
    <r>
      <rPr>
        <sz val="10"/>
        <rFont val="Times New Roman"/>
        <family val="1"/>
      </rPr>
      <t xml:space="preserve">Kenyon, Henry, ‘Rapid App Response: Marines to Embed Development Teams with Deployed Units’, GCN, 6 Feb. 2012, </t>
    </r>
    <r>
      <rPr>
        <sz val="10"/>
        <color rgb="FF0000FF"/>
        <rFont val="Times New Roman"/>
        <family val="1"/>
      </rPr>
      <t xml:space="preserve">https://gcn.com/articles/2012/02/06/marine-corps-apps-embedded-development-teams.aspx(open in a new window)</t>
    </r>
    <r>
      <rPr>
        <sz val="10"/>
        <rFont val="Times New Roman"/>
        <family val="1"/>
      </rPr>
      <t xml:space="preserve"> </t>
    </r>
    <r>
      <rPr>
        <sz val="10"/>
        <color rgb="FF0000FF"/>
        <rFont val="Times New Roman"/>
        <family val="1"/>
      </rPr>
      <t xml:space="preserve">(Open in a new window)Google Scholar</t>
    </r>
  </si>
  <si>
    <t xml:space="preserve">Kenyon, Henry, ‘Rapid App Response: Marines to Embed Development Teams with Deployed Units’, GCN, 6 Feb. 2012, https://gcn.com/articles/2012/02/06/marine-corps-apps-embedded-development-teams.aspx</t>
  </si>
  <si>
    <r>
      <rPr>
        <sz val="10"/>
        <rFont val="Times New Roman"/>
        <family val="1"/>
      </rPr>
      <t xml:space="preserve">Kleinholz, Joshua, ‘AFwerX Vegas Opens New Doors to Innovation’, Air Combat Command, 23 Aug. 2017, </t>
    </r>
    <r>
      <rPr>
        <sz val="10"/>
        <color rgb="FF0000FF"/>
        <rFont val="Times New Roman"/>
        <family val="1"/>
      </rPr>
      <t xml:space="preserve">https://www.acc.af.mil/News/Article-Display/Article/1288094/afwerx-vegas-opens-new-doors-to-innovation/(open in a new window)</t>
    </r>
    <r>
      <rPr>
        <sz val="10"/>
        <rFont val="Times New Roman"/>
        <family val="1"/>
      </rPr>
      <t xml:space="preserve"> </t>
    </r>
    <r>
      <rPr>
        <sz val="10"/>
        <color rgb="FF0000FF"/>
        <rFont val="Times New Roman"/>
        <family val="1"/>
      </rPr>
      <t xml:space="preserve">(Open in a new window)Google Scholar</t>
    </r>
  </si>
  <si>
    <t xml:space="preserve">Kleinholz, Joshua, ‘AFwerX Vegas Opens New Doors to Innovation’, Air Combat Command, 23 Aug. 2017, https://www.acc.af.mil/News/Article-Display/Article/1288094/afwerx-vegas-opens-new-doors-to-innovation/</t>
  </si>
  <si>
    <t xml:space="preserve">Kollars, Nina A., ‘War’s Horizon: Soldier-Led Adaptation in Iraq and Vietnam’, Journal of Strategic Studies 38/4 (2015), 529–53. DOI:10.1080/01402390.2014.971947 </t>
  </si>
  <si>
    <r>
      <rPr>
        <sz val="10"/>
        <rFont val="Times New Roman"/>
        <family val="1"/>
      </rPr>
      <t xml:space="preserve">Krazit, Tom, ‘How the US Air Force Deployed Kubernetes and Istio on an F-16 in 45 Days’, The New Stack, 24 Dec. 2019, </t>
    </r>
    <r>
      <rPr>
        <sz val="10"/>
        <color rgb="FF0000FF"/>
        <rFont val="Times New Roman"/>
        <family val="1"/>
      </rPr>
      <t xml:space="preserve">https://thenewstack.io/how-the-u-s-air-force-deployed-kubernetes-and-istio-on-an-f-16-in-45-days/(open in a new window)</t>
    </r>
    <r>
      <rPr>
        <sz val="10"/>
        <rFont val="Times New Roman"/>
        <family val="1"/>
      </rPr>
      <t xml:space="preserve"> </t>
    </r>
    <r>
      <rPr>
        <sz val="10"/>
        <color rgb="FF0000FF"/>
        <rFont val="Times New Roman"/>
        <family val="1"/>
      </rPr>
      <t xml:space="preserve">(Open in a new window)Google Scholar</t>
    </r>
  </si>
  <si>
    <t xml:space="preserve">Krazit, Tom, ‘How the US Air Force Deployed Kubernetes and Istio on an F-16 in 45 Days’, The New Stack, 24 Dec. 2019, https://thenewstack.io/how-the-u-s-air-force-deployed-kubernetes-and-istio-on-an-f-16-in-45-days/</t>
  </si>
  <si>
    <t xml:space="preserve">Lake, Daniel R., The Pursuit of Technological Superiority and the Shrinking American Military (New York, NY: Palgrave MacMillan 2019). </t>
  </si>
  <si>
    <r>
      <rPr>
        <sz val="10"/>
        <rFont val="Times New Roman"/>
        <family val="1"/>
      </rPr>
      <t xml:space="preserve">Lavelle, Sean, ‘The Navy’s Kessel Run’, US Naval Institute, 3 Jan. 2019, </t>
    </r>
    <r>
      <rPr>
        <sz val="10"/>
        <color rgb="FF0000FF"/>
        <rFont val="Times New Roman"/>
        <family val="1"/>
      </rPr>
      <t xml:space="preserve">https://blog.usni.org/posts/2019/01/03/the-navys-kessel-run(open in a new window)</t>
    </r>
    <r>
      <rPr>
        <sz val="10"/>
        <rFont val="Times New Roman"/>
        <family val="1"/>
      </rPr>
      <t xml:space="preserve"> </t>
    </r>
    <r>
      <rPr>
        <sz val="10"/>
        <color rgb="FF0000FF"/>
        <rFont val="Times New Roman"/>
        <family val="1"/>
      </rPr>
      <t xml:space="preserve">(Open in a new window)Google Scholar</t>
    </r>
  </si>
  <si>
    <t xml:space="preserve">Lavelle, Sean, ‘The Navy’s Kessel Run’, US Naval Institute, 3 Jan. 2019, https://blog.usni.org/posts/2019/01/03/the-navys-kessel-run</t>
  </si>
  <si>
    <r>
      <rPr>
        <sz val="10"/>
        <rFont val="Times New Roman"/>
        <family val="1"/>
      </rPr>
      <t xml:space="preserve">Leonard, Herman, et al., ‘SOFWERX: Innovation at US Special Operations Command’, Harvard Business School Case 819–004, Jul. 2018. </t>
    </r>
    <r>
      <rPr>
        <sz val="10"/>
        <color rgb="FF0000FF"/>
        <rFont val="Times New Roman"/>
        <family val="1"/>
      </rPr>
      <t xml:space="preserve">(Open in a new window)Google Scholar</t>
    </r>
  </si>
  <si>
    <t xml:space="preserve">Leonard, Herman, et al., ‘SOFWERX: Innovation at US Special Operations Command’, Harvard Business School Case 819–004, Jul. 2018. (Open in a new window)Google Scholar</t>
  </si>
  <si>
    <t xml:space="preserve">Lindsay, Jon R., Information Technology and Military Power (Ithaca, NY: Cornell UP 2020). </t>
  </si>
  <si>
    <r>
      <rPr>
        <sz val="10"/>
        <rFont val="Times New Roman"/>
        <family val="1"/>
      </rPr>
      <t xml:space="preserve">Lofgren, Eric, ‘The Future of Navy Software Development with Lt. Sean Lavelle,’ Acquisition Talk (1 Apr. 2020). Audio. </t>
    </r>
    <r>
      <rPr>
        <sz val="10"/>
        <color rgb="FF0000FF"/>
        <rFont val="Times New Roman"/>
        <family val="1"/>
      </rPr>
      <t xml:space="preserve">(Open in a new window)Google Scholar</t>
    </r>
  </si>
  <si>
    <t xml:space="preserve">Lofgren, Eric, ‘The Future of Navy Software Development with Lt. Sean Lavelle,’ Acquisition Talk (1 Apr. 2020). Audio. (Open in a new window)Google Scholar</t>
  </si>
  <si>
    <r>
      <rPr>
        <sz val="10"/>
        <rFont val="Times New Roman"/>
        <family val="1"/>
      </rPr>
      <t xml:space="preserve">Lofgren, Eric, ‘The Last Frontier of Acquisition Reform: The Budget Process’, Conference Paper, Proceedings of the Seventeenth Annual Acquisition Research Symposium, 13-14 May 2020. Prepared for the Naval Postgraduate School, Monterey, CA. </t>
    </r>
    <r>
      <rPr>
        <sz val="10"/>
        <color rgb="FF0000FF"/>
        <rFont val="Times New Roman"/>
        <family val="1"/>
      </rPr>
      <t xml:space="preserve">(Open in a new window)Google Scholar</t>
    </r>
  </si>
  <si>
    <t xml:space="preserve">Lofgren, Eric, ‘The Last Frontier of Acquisition Reform: The Budget Process’, Conference Paper, Proceedings of the Seventeenth Annual Acquisition Research Symposium, 13-14 May 2020. Prepared for the Naval Postgraduate School, Monterey, CA. (Open in a new window)Google Scholar</t>
  </si>
  <si>
    <r>
      <rPr>
        <sz val="10"/>
        <rFont val="Times New Roman"/>
        <family val="1"/>
      </rPr>
      <t xml:space="preserve">Mabus, Ray, ‘Harnessing the Navy’s Culture of Innovation’, Naval Science and Technology Future Force Magazine, 7 Apr. 2015, </t>
    </r>
    <r>
      <rPr>
        <sz val="10"/>
        <color rgb="FF0000FF"/>
        <rFont val="Times New Roman"/>
        <family val="1"/>
      </rPr>
      <t xml:space="preserve">https://futureforce.navylive.dodlive.mil/2015/04/harnessing-the-navys-culture-of-innovation/(open in a new window)</t>
    </r>
    <r>
      <rPr>
        <sz val="10"/>
        <rFont val="Times New Roman"/>
        <family val="1"/>
      </rPr>
      <t xml:space="preserve"> </t>
    </r>
    <r>
      <rPr>
        <sz val="10"/>
        <color rgb="FF0000FF"/>
        <rFont val="Times New Roman"/>
        <family val="1"/>
      </rPr>
      <t xml:space="preserve">(Open in a new window)Google Scholar</t>
    </r>
  </si>
  <si>
    <t xml:space="preserve">Mabus, Ray, ‘Harnessing the Navy’s Culture of Innovation’, Naval Science and Technology Future Force Magazine, 7 Apr. 2015, https://futureforce.navylive.dodlive.mil/2015/04/harnessing-the-navys-culture-of-innovation/</t>
  </si>
  <si>
    <r>
      <rPr>
        <sz val="10"/>
        <rFont val="Times New Roman"/>
        <family val="1"/>
      </rPr>
      <t xml:space="preserve">Magnuson, Stew, ‘AUSA NEWS: Army Futures Command Breaking Down Barriers’, National Defense Magazine, 16 Oct. 2019, </t>
    </r>
    <r>
      <rPr>
        <sz val="10"/>
        <color rgb="FF0000FF"/>
        <rFont val="Times New Roman"/>
        <family val="1"/>
      </rPr>
      <t xml:space="preserve">https://www.nationaldefensemagazine.org/articles/2019/10/16/army-futures-command-breaking-down-barriers(open in a new window)</t>
    </r>
    <r>
      <rPr>
        <sz val="10"/>
        <rFont val="Times New Roman"/>
        <family val="1"/>
      </rPr>
      <t xml:space="preserve"> </t>
    </r>
    <r>
      <rPr>
        <sz val="10"/>
        <color rgb="FF0000FF"/>
        <rFont val="Times New Roman"/>
        <family val="1"/>
      </rPr>
      <t xml:space="preserve">(Open in a new window)Google Scholar</t>
    </r>
  </si>
  <si>
    <t xml:space="preserve">Magnuson, Stew, ‘AUSA NEWS: Army Futures Command Breaking Down Barriers’, National Defense Magazine, 16 Oct. 2019, https://www.nationaldefensemagazine.org/articles/2019/10/16/army-futures-command-breaking-down-barriers</t>
  </si>
  <si>
    <r>
      <rPr>
        <sz val="10"/>
        <rFont val="Times New Roman"/>
        <family val="1"/>
      </rPr>
      <t xml:space="preserve">Mahnken, Thomas G., Technology and the American Way of War since 1945 (New York, NY: Columbia UP 2008). </t>
    </r>
    <r>
      <rPr>
        <sz val="10"/>
        <color rgb="FF0000FF"/>
        <rFont val="Times New Roman"/>
        <family val="1"/>
      </rPr>
      <t xml:space="preserve">(Open in a new window)Google Scholar</t>
    </r>
  </si>
  <si>
    <t xml:space="preserve">Mahnken, Thomas G., Technology and the American Way of War since 1945 (New York, NY: Columbia UP 2008). (Open in a new window)Google Scholar</t>
  </si>
  <si>
    <t xml:space="preserve">Mansoor, Peter R. and Williamson Murray, (eds.), The Culture of Military Organizations (Cambridge: UK: Cambridge UP 2019). </t>
  </si>
  <si>
    <r>
      <rPr>
        <sz val="10"/>
        <rFont val="Times New Roman"/>
        <family val="1"/>
      </rPr>
      <t xml:space="preserve">Mayfield, Mandy, ‘Army Futures Command Establishes “Software Factory”’, National Defense Magazine, 21 Aug. 2020, </t>
    </r>
    <r>
      <rPr>
        <sz val="10"/>
        <color rgb="FF0000FF"/>
        <rFont val="Times New Roman"/>
        <family val="1"/>
      </rPr>
      <t xml:space="preserve">https://www.nationaldefensemagazine.org/articles/2020/8/21/army-futures-command-establishes-software-factory(open in a new window)</t>
    </r>
    <r>
      <rPr>
        <sz val="10"/>
        <rFont val="Times New Roman"/>
        <family val="1"/>
      </rPr>
      <t xml:space="preserve"> </t>
    </r>
    <r>
      <rPr>
        <sz val="10"/>
        <color rgb="FF0000FF"/>
        <rFont val="Times New Roman"/>
        <family val="1"/>
      </rPr>
      <t xml:space="preserve">(Open in a new window)Google Scholar</t>
    </r>
  </si>
  <si>
    <t xml:space="preserve">Mayfield, Mandy, ‘Army Futures Command Establishes “Software Factory”’, National Defense Magazine, 21 Aug. 2020, https://www.nationaldefensemagazine.org/articles/2020/8/21/army-futures-command-establishes-software-factory</t>
  </si>
  <si>
    <r>
      <rPr>
        <sz val="10"/>
        <rFont val="Times New Roman"/>
        <family val="1"/>
      </rPr>
      <t xml:space="preserve">McCain, John, ‘Opening Statement by SASC Chairman John McCain at Hearing on DoD Nominations’, Office of Senator John McCain, 14 Nov. 2017, </t>
    </r>
    <r>
      <rPr>
        <sz val="10"/>
        <color rgb="FF0000FF"/>
        <rFont val="Times New Roman"/>
        <family val="1"/>
      </rPr>
      <t xml:space="preserve">https://www.mccain.senate.gov/public/index.cfm/floor-statements?ID=05DCC73A-F9F2-44E8-A75F-236003222AF2(open in a new window)</t>
    </r>
    <r>
      <rPr>
        <sz val="10"/>
        <rFont val="Times New Roman"/>
        <family val="1"/>
      </rPr>
      <t xml:space="preserve"> </t>
    </r>
    <r>
      <rPr>
        <sz val="10"/>
        <color rgb="FF0000FF"/>
        <rFont val="Times New Roman"/>
        <family val="1"/>
      </rPr>
      <t xml:space="preserve">(Open in a new window)Google Scholar</t>
    </r>
  </si>
  <si>
    <t xml:space="preserve">McCain, John, ‘Opening Statement by SASC Chairman John McCain at Hearing on DoD Nominations’, Office of Senator John McCain, 14 Nov. 2017, https://www.mccain.senate.gov/public/index.cfm/floor-statements?ID=05DCC73A-F9F2-44E8-A75F-236003222AF2</t>
  </si>
  <si>
    <r>
      <rPr>
        <sz val="10"/>
        <rFont val="Times New Roman"/>
        <family val="1"/>
      </rPr>
      <t xml:space="preserve">McQuade, J. Michael et al., ‘Software Is Never Done: Refactoring the Acquisition Code for Competitive Advantage’, Defense Innovation Board, 3 May 2019, </t>
    </r>
    <r>
      <rPr>
        <sz val="10"/>
        <color rgb="FF0000FF"/>
        <rFont val="Times New Roman"/>
        <family val="1"/>
      </rPr>
      <t xml:space="preserve">https://media.defense.gov/2019/May/01/2002126690/-1/-1/0/SWAP%20EXECUTIVE%20SUMMARY.PDF(open in a new window)</t>
    </r>
    <r>
      <rPr>
        <sz val="10"/>
        <rFont val="Times New Roman"/>
        <family val="1"/>
      </rPr>
      <t xml:space="preserve"> </t>
    </r>
    <r>
      <rPr>
        <sz val="10"/>
        <color rgb="FF0000FF"/>
        <rFont val="Times New Roman"/>
        <family val="1"/>
      </rPr>
      <t xml:space="preserve">(Open in a new window)Google Scholar</t>
    </r>
  </si>
  <si>
    <t xml:space="preserve">McQuade, J. Michael et al., ‘Software Is Never Done: Refactoring the Acquisition Code for Competitive Advantage’, Defense Innovation Board, 3 May 2019, https://media.defense.gov/2019/May/01/2002126690/-1/-1/0/SWAP%20EXECUTIVE%20SUMMARY.PDF</t>
  </si>
  <si>
    <r>
      <rPr>
        <sz val="10"/>
        <rFont val="Times New Roman"/>
        <family val="1"/>
      </rPr>
      <t xml:space="preserve">Miller, Jason, ‘Air Force’s game-changing approach to cloud accreditation, Federal News Network’, 30 Jul. 2020, </t>
    </r>
    <r>
      <rPr>
        <sz val="10"/>
        <color rgb="FF0000FF"/>
        <rFont val="Times New Roman"/>
        <family val="1"/>
      </rPr>
      <t xml:space="preserve">https://federalnewsnetwork.com/ask-the-cio/2020/07/air-forces-game-changing-approach-to-cloud-accreditation/(open in a new window)</t>
    </r>
    <r>
      <rPr>
        <sz val="10"/>
        <rFont val="Times New Roman"/>
        <family val="1"/>
      </rPr>
      <t xml:space="preserve"> </t>
    </r>
    <r>
      <rPr>
        <sz val="10"/>
        <color rgb="FF0000FF"/>
        <rFont val="Times New Roman"/>
        <family val="1"/>
      </rPr>
      <t xml:space="preserve">(Open in a new window)Google Scholar</t>
    </r>
  </si>
  <si>
    <t xml:space="preserve">Miller, Jason, ‘Air Force’s game-changing approach to cloud accreditation, Federal News Network’, 30 Jul. 2020, https://federalnewsnetwork.com/ask-the-cio/2020/07/air-forces-game-changing-approach-to-cloud-accreditation/</t>
  </si>
  <si>
    <t xml:space="preserve">Mori, Satoru, ‘US Defense Innovation and Artificial Intelligence’, Asia-Pacific Review 25/2 (2018), 16–44. DOI:10.1080/13439006.2018.1545488 </t>
  </si>
  <si>
    <r>
      <rPr>
        <sz val="10"/>
        <rFont val="Times New Roman"/>
        <family val="1"/>
      </rPr>
      <t xml:space="preserve">NavalXAgility, ‘Scaling Agility, Navy Doubles Tech Bridge Locations,’ 13 May 2020, </t>
    </r>
    <r>
      <rPr>
        <sz val="10"/>
        <color rgb="FF0000FF"/>
        <rFont val="Times New Roman"/>
        <family val="1"/>
      </rPr>
      <t xml:space="preserve">https://www.navy.mil/submit/display.asp?story_id=112953(open in a new window)</t>
    </r>
    <r>
      <rPr>
        <sz val="10"/>
        <rFont val="Times New Roman"/>
        <family val="1"/>
      </rPr>
      <t xml:space="preserve"> </t>
    </r>
    <r>
      <rPr>
        <sz val="10"/>
        <color rgb="FF0000FF"/>
        <rFont val="Times New Roman"/>
        <family val="1"/>
      </rPr>
      <t xml:space="preserve">(Open in a new window)Google Scholar</t>
    </r>
  </si>
  <si>
    <t xml:space="preserve">NavalXAgility, ‘Scaling Agility, Navy Doubles Tech Bridge Locations,’ 13 May 2020, https://www.navy.mil/submit/display.asp?story_id=112953</t>
  </si>
  <si>
    <r>
      <rPr>
        <sz val="10"/>
        <rFont val="Times New Roman"/>
        <family val="1"/>
      </rPr>
      <t xml:space="preserve">Neller, Robert B., ‘Strategy for Assured Command and Control: Enabling C2 for Tomorrow’s Marine Corps, Today’, US Marine Corps, Mar. 2017, </t>
    </r>
    <r>
      <rPr>
        <sz val="10"/>
        <color rgb="FF0000FF"/>
        <rFont val="Times New Roman"/>
        <family val="1"/>
      </rPr>
      <t xml:space="preserve">https://www.hqmc.marines.mil/Portals/61/Marine_Corps_Strategy_for_Assured_Command_and_Control_March_2017.pdf?ver=2017-05-30-160731-940(open in a new window)</t>
    </r>
    <r>
      <rPr>
        <sz val="10"/>
        <rFont val="Times New Roman"/>
        <family val="1"/>
      </rPr>
      <t xml:space="preserve"> </t>
    </r>
    <r>
      <rPr>
        <sz val="10"/>
        <color rgb="FF0000FF"/>
        <rFont val="Times New Roman"/>
        <family val="1"/>
      </rPr>
      <t xml:space="preserve">(Open in a new window)Google Scholar</t>
    </r>
  </si>
  <si>
    <t xml:space="preserve">Neller, Robert B., ‘Strategy for Assured Command and Control: Enabling C2 for Tomorrow’s Marine Corps, Today’, US Marine Corps, Mar. 2017, https://www.hqmc.marines.mil/Portals/61/Marine_Corps_Strategy_for_Assured_Command_and_Control_March_2017.pdf?ver=2017-05-30-160731-940</t>
  </si>
  <si>
    <r>
      <rPr>
        <sz val="10"/>
        <rFont val="Times New Roman"/>
        <family val="1"/>
      </rPr>
      <t xml:space="preserve">Oakley, Shelby S., ‘Defense Acquisitions Annual Assessment: Drive to Deliver Capabilities Faster Increases Importance of Program Knowledge and Consistent Data for Oversight’, Government Accountability Office, Jun. 2020. </t>
    </r>
    <r>
      <rPr>
        <sz val="10"/>
        <color rgb="FF0000FF"/>
        <rFont val="Times New Roman"/>
        <family val="1"/>
      </rPr>
      <t xml:space="preserve">https://www.gao.gov/assets/710/707359.pdf(open in a new window)</t>
    </r>
    <r>
      <rPr>
        <sz val="10"/>
        <rFont val="Times New Roman"/>
        <family val="1"/>
      </rPr>
      <t xml:space="preserve"> </t>
    </r>
    <r>
      <rPr>
        <sz val="10"/>
        <color rgb="FF0000FF"/>
        <rFont val="Times New Roman"/>
        <family val="1"/>
      </rPr>
      <t xml:space="preserve">(Open in a new window)Google Scholar</t>
    </r>
  </si>
  <si>
    <t xml:space="preserve">Oakley, Shelby S., ‘Defense Acquisitions Annual Assessment: Drive to Deliver Capabilities Faster Increases Importance of Program Knowledge and Consistent Data for Oversight’, Government Accountability Office, Jun. 2020. https://www.gao.gov/assets/710/707359.pdf</t>
  </si>
  <si>
    <r>
      <rPr>
        <sz val="10"/>
        <rFont val="Times New Roman"/>
        <family val="1"/>
      </rPr>
      <t xml:space="preserve">Office of the Secretary of Defense, ‘National Defense Strategy of the United States of America: Sharpening the American Military’s Competitive Edge’, Jan. 2018. </t>
    </r>
    <r>
      <rPr>
        <sz val="10"/>
        <color rgb="FF0000FF"/>
        <rFont val="Times New Roman"/>
        <family val="1"/>
      </rPr>
      <t xml:space="preserve">(Open in a new window)Google Scholar</t>
    </r>
  </si>
  <si>
    <t xml:space="preserve">Office of the Secretary of Defense, ‘National Defense Strategy of the United States of America: Sharpening the American Military’s Competitive Edge’, Jan. 2018. (Open in a new window)Google Scholar</t>
  </si>
  <si>
    <r>
      <rPr>
        <sz val="10"/>
        <rFont val="Times New Roman"/>
        <family val="1"/>
      </rPr>
      <t xml:space="preserve">Office of the Secretary of the Army, ‘Army Directive 2017–22 (Cross-functional Team Pilot in Support of Materiel Development’, 6 Oct. 2017. </t>
    </r>
    <r>
      <rPr>
        <sz val="10"/>
        <color rgb="FF0000FF"/>
        <rFont val="Times New Roman"/>
        <family val="1"/>
      </rPr>
      <t xml:space="preserve">(Open in a new window)Google Scholar</t>
    </r>
  </si>
  <si>
    <t xml:space="preserve">Office of the Secretary of the Army, ‘Army Directive 2017–22 (Cross-functional Team Pilot in Support of Materiel Development’, 6 Oct. 2017. (Open in a new window)Google Scholar</t>
  </si>
  <si>
    <r>
      <rPr>
        <sz val="10"/>
        <rFont val="Times New Roman"/>
        <family val="1"/>
      </rPr>
      <t xml:space="preserve">Perez, Tony and Adam Welch, ‘AFWERX Spark’, in Brian Maue (ed..), Empowering Next Generation Innovators and Innovations (Arlington, VA: AFWERX 2020), 37–49. </t>
    </r>
    <r>
      <rPr>
        <sz val="10"/>
        <color rgb="FF0000FF"/>
        <rFont val="Times New Roman"/>
        <family val="1"/>
      </rPr>
      <t xml:space="preserve">https://www.afwerx.af.mil/resources/AFWERX-Book.pdf(open in a new window)</t>
    </r>
    <r>
      <rPr>
        <sz val="10"/>
        <rFont val="Times New Roman"/>
        <family val="1"/>
      </rPr>
      <t xml:space="preserve"> </t>
    </r>
    <r>
      <rPr>
        <sz val="10"/>
        <color rgb="FF0000FF"/>
        <rFont val="Times New Roman"/>
        <family val="1"/>
      </rPr>
      <t xml:space="preserve">(Open in a new window)Google Scholar</t>
    </r>
  </si>
  <si>
    <t xml:space="preserve">Perez, Tony and Adam Welch, ‘AFWERX Spark’, in Brian Maue (ed..), Empowering Next Generation Innovators and Innovations (Arlington, VA: AFWERX 2020), 37–49. https://www.afwerx.af.mil/resources/AFWERX-Book.pdf</t>
  </si>
  <si>
    <r>
      <rPr>
        <sz val="10"/>
        <rFont val="Times New Roman"/>
        <family val="1"/>
      </rPr>
      <t xml:space="preserve">Pierce, Terry, ‘The Navy Needs a New Engine of Innovation’, Proceedings Magazine 144/11/1389 (Nov 2018). </t>
    </r>
    <r>
      <rPr>
        <sz val="10"/>
        <color rgb="FF0000FF"/>
        <rFont val="Times New Roman"/>
        <family val="1"/>
      </rPr>
      <t xml:space="preserve">https://www.usni.org/magazines/proceedings/2018/november/navy-needs-new-engine-innovation(open in a new window)</t>
    </r>
    <r>
      <rPr>
        <sz val="10"/>
        <rFont val="Times New Roman"/>
        <family val="1"/>
      </rPr>
      <t xml:space="preserve"> </t>
    </r>
    <r>
      <rPr>
        <sz val="10"/>
        <color rgb="FF0000FF"/>
        <rFont val="Times New Roman"/>
        <family val="1"/>
      </rPr>
      <t xml:space="preserve">(Open in a new window)Google Scholar</t>
    </r>
  </si>
  <si>
    <t xml:space="preserve">Pierce, Terry, ‘The Navy Needs a New Engine of Innovation’, Proceedings Magazine 144/11/1389 (Nov 2018). https://www.usni.org/magazines/proceedings/2018/november/navy-needs-new-engine-innovation</t>
  </si>
  <si>
    <t xml:space="preserve">Pierce, Terry, Warfighting and Disruptive Technologies: Disguising Innovation (New York, NY: Frank Cass Publishers 2004). </t>
  </si>
  <si>
    <r>
      <rPr>
        <sz val="10"/>
        <rFont val="Times New Roman"/>
        <family val="1"/>
      </rPr>
      <t xml:space="preserve">Pomerleau, Mark, ‘Here’s What the Marines’ Information Command Centers Will Do’, C4ISR.net, 6 Dec. 2019, </t>
    </r>
    <r>
      <rPr>
        <sz val="10"/>
        <color rgb="FF0000FF"/>
        <rFont val="Times New Roman"/>
        <family val="1"/>
      </rPr>
      <t xml:space="preserve">https://www.c4isrnet.com/information-warfare/2019/12/06/heres-what-the-marines-information-command-centers-will-do/(open in a new window)</t>
    </r>
    <r>
      <rPr>
        <sz val="10"/>
        <rFont val="Times New Roman"/>
        <family val="1"/>
      </rPr>
      <t xml:space="preserve"> </t>
    </r>
    <r>
      <rPr>
        <sz val="10"/>
        <color rgb="FF0000FF"/>
        <rFont val="Times New Roman"/>
        <family val="1"/>
      </rPr>
      <t xml:space="preserve">(Open in a new window)Google Scholar</t>
    </r>
  </si>
  <si>
    <t xml:space="preserve">Pomerleau, Mark, ‘Here’s What the Marines’ Information Command Centers Will Do’, C4ISR.net, 6 Dec. 2019, https://www.c4isrnet.com/information-warfare/2019/12/06/heres-what-the-marines-information-command-centers-will-do/</t>
  </si>
  <si>
    <r>
      <rPr>
        <sz val="10"/>
        <rFont val="Times New Roman"/>
        <family val="1"/>
      </rPr>
      <t xml:space="preserve">Pomerleau, Mark, ‘The Air Force Is All in on Software’, C4ISRnet, 12 Aug. 2019, </t>
    </r>
    <r>
      <rPr>
        <sz val="10"/>
        <color rgb="FF0000FF"/>
        <rFont val="Times New Roman"/>
        <family val="1"/>
      </rPr>
      <t xml:space="preserve">https://www.c4isrnet.com/battlefield-tech/2019/08/12/the-air-force-is-all-in-on-software/(open in a new window)</t>
    </r>
    <r>
      <rPr>
        <sz val="10"/>
        <rFont val="Times New Roman"/>
        <family val="1"/>
      </rPr>
      <t xml:space="preserve"> </t>
    </r>
    <r>
      <rPr>
        <sz val="10"/>
        <color rgb="FF0000FF"/>
        <rFont val="Times New Roman"/>
        <family val="1"/>
      </rPr>
      <t xml:space="preserve">(Open in a new window)Google Scholar</t>
    </r>
  </si>
  <si>
    <t xml:space="preserve">Pomerleau, Mark, ‘The Air Force Is All in on Software’, C4ISRnet, 12 Aug. 2019, https://www.c4isrnet.com/battlefield-tech/2019/08/12/the-air-force-is-all-in-on-software/</t>
  </si>
  <si>
    <t xml:space="preserve">Posen, Barry R., ‘Foreward: Military Doctrine and the Management of Uncertainty’, Journal of Strategic Studies 39/2 (2016), 159–73. DOI:10.1080/01402390.2015.1115042 </t>
  </si>
  <si>
    <r>
      <rPr>
        <sz val="10"/>
        <rFont val="Times New Roman"/>
        <family val="1"/>
      </rPr>
      <t xml:space="preserve">Posen, Barry R., The Sources of Military Doctrine: France, Britain, and Germany between the World Wars (Ithaca, NY: Cornell UP 1986). </t>
    </r>
    <r>
      <rPr>
        <sz val="10"/>
        <color rgb="FF0000FF"/>
        <rFont val="Times New Roman"/>
        <family val="1"/>
      </rPr>
      <t xml:space="preserve">(Open in a new window)Google Scholar</t>
    </r>
  </si>
  <si>
    <t xml:space="preserve">Posen, Barry R., The Sources of Military Doctrine: France, Britain, and Germany between the World Wars (Ithaca, NY: Cornell UP 1986). (Open in a new window)Google Scholar</t>
  </si>
  <si>
    <t xml:space="preserve">Raska, Michael, ‘The Sixth RMA Wave: Disruption in Military Affairs?’. Journal of Strategic Studies (2020), 1–24. DOI:10.1080/01402390.2020.1848818 </t>
  </si>
  <si>
    <r>
      <rPr>
        <sz val="10"/>
        <rFont val="Times New Roman"/>
        <family val="1"/>
      </rPr>
      <t xml:space="preserve">Richardson, John, ‘The Future Navy’, Office of the Chief of Naval Operations, 17 May 2017, </t>
    </r>
    <r>
      <rPr>
        <sz val="10"/>
        <color rgb="FF0000FF"/>
        <rFont val="Times New Roman"/>
        <family val="1"/>
      </rPr>
      <t xml:space="preserve">https://admin.govexec.com/media/gbc/docs/pdfs_edit/futurenavyfinal.pdf(open in a new window)</t>
    </r>
    <r>
      <rPr>
        <sz val="10"/>
        <rFont val="Times New Roman"/>
        <family val="1"/>
      </rPr>
      <t xml:space="preserve"> </t>
    </r>
    <r>
      <rPr>
        <sz val="10"/>
        <color rgb="FF0000FF"/>
        <rFont val="Times New Roman"/>
        <family val="1"/>
      </rPr>
      <t xml:space="preserve">(Open in a new window)Google Scholar</t>
    </r>
  </si>
  <si>
    <t xml:space="preserve">Richardson, John, ‘The Future Navy’, Office of the Chief of Naval Operations, 17 May 2017, https://admin.govexec.com/media/gbc/docs/pdfs_edit/futurenavyfinal.pdf</t>
  </si>
  <si>
    <r>
      <rPr>
        <sz val="10"/>
        <rFont val="Times New Roman"/>
        <family val="1"/>
      </rPr>
      <t xml:space="preserve">Roper, Will, ‘Take the Red Pill: _the New Digital Acquisition Reality’, Department of the Air Force, 15 Sept. 2020. </t>
    </r>
    <r>
      <rPr>
        <sz val="10"/>
        <color rgb="FF0000FF"/>
        <rFont val="Times New Roman"/>
        <family val="1"/>
      </rPr>
      <t xml:space="preserve">(Open in a new window)Google Scholar</t>
    </r>
  </si>
  <si>
    <t xml:space="preserve">Roper, Will, ‘Take the Red Pill: _the New Digital Acquisition Reality’, Department of the Air Force, 15 Sept. 2020. (Open in a new window)Google Scholar</t>
  </si>
  <si>
    <r>
      <rPr>
        <sz val="10"/>
        <rFont val="Times New Roman"/>
        <family val="1"/>
      </rPr>
      <t xml:space="preserve">Rosen, Stephen Peter, Winning the Next War: Innovation and the Modern Military (Ithaca, NY: Cornell UP 1991). </t>
    </r>
    <r>
      <rPr>
        <sz val="10"/>
        <color rgb="FF0000FF"/>
        <rFont val="Times New Roman"/>
        <family val="1"/>
      </rPr>
      <t xml:space="preserve">(Open in a new window)Google Scholar</t>
    </r>
  </si>
  <si>
    <t xml:space="preserve">Rosen, Stephen Peter, Winning the Next War: Innovation and the Modern Military (Ithaca, NY: Cornell UP 1991). (Open in a new window)Google Scholar</t>
  </si>
  <si>
    <r>
      <rPr>
        <sz val="10"/>
        <rFont val="Times New Roman"/>
        <family val="1"/>
      </rPr>
      <t xml:space="preserve">Rosenberg, Barry, ‘Fail Fast, Not Twice: DoD’s Push for Agile Software Development’, Breaking Defense, 20 Jun. 2019, </t>
    </r>
    <r>
      <rPr>
        <sz val="10"/>
        <color rgb="FF0000FF"/>
        <rFont val="Times New Roman"/>
        <family val="1"/>
      </rPr>
      <t xml:space="preserve">https://breakingdefense.com/2019/06/fail-fast-not-twice-dods-push-for-agile-software-development/(open in a new window)</t>
    </r>
    <r>
      <rPr>
        <sz val="10"/>
        <rFont val="Times New Roman"/>
        <family val="1"/>
      </rPr>
      <t xml:space="preserve"> </t>
    </r>
    <r>
      <rPr>
        <sz val="10"/>
        <color rgb="FF0000FF"/>
        <rFont val="Times New Roman"/>
        <family val="1"/>
      </rPr>
      <t xml:space="preserve">(Open in a new window)Google Scholar</t>
    </r>
  </si>
  <si>
    <t xml:space="preserve">Rosenberg, Barry, ‘Fail Fast, Not Twice: DoD’s Push for Agile Software Development’, Breaking Defense, 20 Jun. 2019, https://breakingdefense.com/2019/06/fail-fast-not-twice-dods-push-for-agile-software-development/</t>
  </si>
  <si>
    <t xml:space="preserve">Sapolsky, Harvey M., Polaris System Development: Bureaucratic and Programmatic Success in Government (Cambridge, MA: Harvard UP 1972). </t>
  </si>
  <si>
    <r>
      <rPr>
        <sz val="10"/>
        <rFont val="Times New Roman"/>
        <family val="1"/>
      </rPr>
      <t xml:space="preserve">Schmidt, Eric, Robert Work, et al., ‘First Quarter Recommendations’, National Security Commission on Artificial Intelligence (March 2020). </t>
    </r>
    <r>
      <rPr>
        <sz val="10"/>
        <color rgb="FF0000FF"/>
        <rFont val="Times New Roman"/>
        <family val="1"/>
      </rPr>
      <t xml:space="preserve">(Open in a new window)Google Scholar</t>
    </r>
  </si>
  <si>
    <t xml:space="preserve">Schmidt, Eric, Robert Work, et al., ‘First Quarter Recommendations’, National Security Commission on Artificial Intelligence (March 2020). (Open in a new window)Google Scholar</t>
  </si>
  <si>
    <r>
      <rPr>
        <sz val="10"/>
        <rFont val="Times New Roman"/>
        <family val="1"/>
      </rPr>
      <t xml:space="preserve">Secretary of the Air Force Public Affairs, ‘Inaugural Air Force Pitch Day: New Contracts, New Partners’, 8 Mar. 2019, </t>
    </r>
    <r>
      <rPr>
        <sz val="10"/>
        <color rgb="FF0000FF"/>
        <rFont val="Times New Roman"/>
        <family val="1"/>
      </rPr>
      <t xml:space="preserve">https://www.af.mil/News/Article-Display/Article/1779609/inaugural-air-force-pitch-day-new-contracts-new-partners/(open in a new window)</t>
    </r>
    <r>
      <rPr>
        <sz val="10"/>
        <rFont val="Times New Roman"/>
        <family val="1"/>
      </rPr>
      <t xml:space="preserve"> </t>
    </r>
    <r>
      <rPr>
        <sz val="10"/>
        <color rgb="FF0000FF"/>
        <rFont val="Times New Roman"/>
        <family val="1"/>
      </rPr>
      <t xml:space="preserve">(Open in a new window)Google Scholar</t>
    </r>
  </si>
  <si>
    <t xml:space="preserve">Secretary of the Air Force Public Affairs, ‘Inaugural Air Force Pitch Day: New Contracts, New Partners’, 8 Mar. 2019, https://www.af.mil/News/Article-Display/Article/1779609/inaugural-air-force-pitch-day-new-contracts-new-partners/</t>
  </si>
  <si>
    <r>
      <rPr>
        <sz val="10"/>
        <rFont val="Times New Roman"/>
        <family val="1"/>
      </rPr>
      <t xml:space="preserve">South, Todd, ‘New Tech from Futures Command ‘Designed, Built, Tested with Soldiers’ to Get It There Faster’, Army Times, 20 Oct. 2019, </t>
    </r>
    <r>
      <rPr>
        <sz val="10"/>
        <color rgb="FF0000FF"/>
        <rFont val="Times New Roman"/>
        <family val="1"/>
      </rPr>
      <t xml:space="preserve">https://www.armytimes.com/news/your-army/2019/10/21/new-tech-from-futures-command-designed-built-tested-with-soldiers-to-get-it-there-faster/(open in a new window)</t>
    </r>
    <r>
      <rPr>
        <sz val="10"/>
        <rFont val="Times New Roman"/>
        <family val="1"/>
      </rPr>
      <t xml:space="preserve"> </t>
    </r>
    <r>
      <rPr>
        <sz val="10"/>
        <color rgb="FF0000FF"/>
        <rFont val="Times New Roman"/>
        <family val="1"/>
      </rPr>
      <t xml:space="preserve">(Open in a new window)Google Scholar</t>
    </r>
  </si>
  <si>
    <t xml:space="preserve">South, Todd, ‘New Tech from Futures Command ‘Designed, Built, Tested with Soldiers’ to Get It There Faster’, Army Times, 20 Oct. 2019, https://www.armytimes.com/news/your-army/2019/10/21/new-tech-from-futures-command-designed-built-tested-with-soldiers-to-get-it-there-faster/</t>
  </si>
  <si>
    <r>
      <rPr>
        <sz val="10"/>
        <rFont val="Times New Roman"/>
        <family val="1"/>
      </rPr>
      <t xml:space="preserve">Spataro, Noah M., ‘FY2018 NIAC Consolidated Report: Lean Startup Approach to Capability Development: Evolving Small Batch Innovation for Dual-use Technologies’, Naval Innovation Advisory Council (1 August 2018). </t>
    </r>
    <r>
      <rPr>
        <sz val="10"/>
        <color rgb="FF0000FF"/>
        <rFont val="Times New Roman"/>
        <family val="1"/>
      </rPr>
      <t xml:space="preserve">(Open in a new window)Google Scholar</t>
    </r>
  </si>
  <si>
    <t xml:space="preserve">Spataro, Noah M., ‘FY2018 NIAC Consolidated Report: Lean Startup Approach to Capability Development: Evolving Small Batch Innovation for Dual-use Technologies’, Naval Innovation Advisory Council (1 August 2018). (Open in a new window)Google Scholar</t>
  </si>
  <si>
    <r>
      <rPr>
        <sz val="10"/>
        <rFont val="Times New Roman"/>
        <family val="1"/>
      </rPr>
      <t xml:space="preserve">Stavridis, James, ‘CNO’s Decision to Terminate Strategic Studies Group Is Smart — It Used to Be Good but Lately Was Fiddling Around’, Foreign Policy, 8 Apr. 2016, </t>
    </r>
    <r>
      <rPr>
        <sz val="10"/>
        <color rgb="FF0000FF"/>
        <rFont val="Times New Roman"/>
        <family val="1"/>
      </rPr>
      <t xml:space="preserve">https://foreignpolicy.com/2016/04/08/cnos-decision-to-terminate-strategic-studies-group-is-smart-it-used-to-be-good-but-lately-was-fiddling-around/(open in a new window)</t>
    </r>
    <r>
      <rPr>
        <sz val="10"/>
        <rFont val="Times New Roman"/>
        <family val="1"/>
      </rPr>
      <t xml:space="preserve"> </t>
    </r>
    <r>
      <rPr>
        <sz val="10"/>
        <color rgb="FF0000FF"/>
        <rFont val="Times New Roman"/>
        <family val="1"/>
      </rPr>
      <t xml:space="preserve">(Open in a new window)Google Scholar</t>
    </r>
  </si>
  <si>
    <t xml:space="preserve">Stavridis, James, ‘CNO’s Decision to Terminate Strategic Studies Group Is Smart — It Used to Be Good but Lately Was Fiddling Around’, Foreign Policy, 8 Apr. 2016, https://foreignpolicy.com/2016/04/08/cnos-decision-to-terminate-strategic-studies-group-is-smart-it-used-to-be-good-but-lately-was-fiddling-around/</t>
  </si>
  <si>
    <r>
      <rPr>
        <sz val="10"/>
        <rFont val="Times New Roman"/>
        <family val="1"/>
      </rPr>
      <t xml:space="preserve">Strout, Nathan, ‘The Marine Corps’ 4 Priorities in the Information Environment’, C4ISR.net, 6 Jan. 2020, </t>
    </r>
    <r>
      <rPr>
        <sz val="10"/>
        <color rgb="FF0000FF"/>
        <rFont val="Times New Roman"/>
        <family val="1"/>
      </rPr>
      <t xml:space="preserve">https://www.c4isrnet.com/information-warfare/2020/01/06/the-marine-corps-4-priorities-in-the-information-environment/(open in a new window)</t>
    </r>
    <r>
      <rPr>
        <sz val="10"/>
        <rFont val="Times New Roman"/>
        <family val="1"/>
      </rPr>
      <t xml:space="preserve"> </t>
    </r>
    <r>
      <rPr>
        <sz val="10"/>
        <color rgb="FF0000FF"/>
        <rFont val="Times New Roman"/>
        <family val="1"/>
      </rPr>
      <t xml:space="preserve">(Open in a new window)Google Scholar</t>
    </r>
  </si>
  <si>
    <t xml:space="preserve">Strout, Nathan, ‘The Marine Corps’ 4 Priorities in the Information Environment’, C4ISR.net, 6 Jan. 2020, https://www.c4isrnet.com/information-warfare/2020/01/06/the-marine-corps-4-priorities-in-the-information-environment/</t>
  </si>
  <si>
    <r>
      <rPr>
        <sz val="10"/>
        <rFont val="Times New Roman"/>
        <family val="1"/>
      </rPr>
      <t xml:space="preserve">US Department of Defense, ‘Summary of the 2018 Department of Defense Artificial Intelligence Strategy: Harnessing AI to Advance Our Security and Prosperity’, 12 Feb. 2019, </t>
    </r>
    <r>
      <rPr>
        <sz val="10"/>
        <color rgb="FF0000FF"/>
        <rFont val="Times New Roman"/>
        <family val="1"/>
      </rPr>
      <t xml:space="preserve">https://media.defense.gov/2019/Feb/12/2002088963/-1/-1/1/SUMMARY-OF-DOD-AI-STRATEGY.PDF(open in a new window)</t>
    </r>
    <r>
      <rPr>
        <sz val="10"/>
        <rFont val="Times New Roman"/>
        <family val="1"/>
      </rPr>
      <t xml:space="preserve"> </t>
    </r>
    <r>
      <rPr>
        <sz val="10"/>
        <color rgb="FF0000FF"/>
        <rFont val="Times New Roman"/>
        <family val="1"/>
      </rPr>
      <t xml:space="preserve">(Open in a new window)Google Scholar</t>
    </r>
  </si>
  <si>
    <t xml:space="preserve">US Department of Defense, ‘Summary of the 2018 Department of Defense Artificial Intelligence Strategy: Harnessing AI to Advance Our Security and Prosperity’, 12 Feb. 2019, https://media.defense.gov/2019/Feb/12/2002088963/-1/-1/1/SUMMARY-OF-DOD-AI-STRATEGY.PDF</t>
  </si>
  <si>
    <r>
      <rPr>
        <sz val="10"/>
        <rFont val="Times New Roman"/>
        <family val="1"/>
      </rPr>
      <t xml:space="preserve">Westbrook, Chris and Kathryn Bailey, ‘New Faces and New Tech Provide the Right Mix of Know-how and Speed’, US Army, 18 Jun. 2020, </t>
    </r>
    <r>
      <rPr>
        <sz val="10"/>
        <color rgb="FF0000FF"/>
        <rFont val="Times New Roman"/>
        <family val="1"/>
      </rPr>
      <t xml:space="preserve">https://www.army.mil/article/236576/new_faces_and_new_tech_provide_the_right_mix_of_know_how_and_speed(open in a new window)</t>
    </r>
    <r>
      <rPr>
        <sz val="10"/>
        <rFont val="Times New Roman"/>
        <family val="1"/>
      </rPr>
      <t xml:space="preserve"> </t>
    </r>
    <r>
      <rPr>
        <sz val="10"/>
        <color rgb="FF0000FF"/>
        <rFont val="Times New Roman"/>
        <family val="1"/>
      </rPr>
      <t xml:space="preserve">(Open in a new window)Google Scholar</t>
    </r>
  </si>
  <si>
    <t xml:space="preserve">Westbrook, Chris and Kathryn Bailey, ‘New Faces and New Tech Provide the Right Mix of Know-how and Speed’, US Army, 18 Jun. 2020, https://www.army.mil/article/236576/new_faces_and_new_tech_provide_the_right_mix_of_know_how_and_speed</t>
  </si>
  <si>
    <r>
      <rPr>
        <sz val="10"/>
        <rFont val="Times New Roman"/>
        <family val="1"/>
      </rPr>
      <t xml:space="preserve">Williams, Lauren C., ‘Gilday Outlines IT Vision for Navy Systems’, FCW, 31 Jul. 2019, </t>
    </r>
    <r>
      <rPr>
        <sz val="10"/>
        <color rgb="FF0000FF"/>
        <rFont val="Times New Roman"/>
        <family val="1"/>
      </rPr>
      <t xml:space="preserve">https://fcw.com/articles/2019/07/31/gilday-confirmation-cyber-it.aspx(open in a new window)</t>
    </r>
    <r>
      <rPr>
        <sz val="10"/>
        <rFont val="Times New Roman"/>
        <family val="1"/>
      </rPr>
      <t xml:space="preserve"> </t>
    </r>
    <r>
      <rPr>
        <sz val="10"/>
        <color rgb="FF0000FF"/>
        <rFont val="Times New Roman"/>
        <family val="1"/>
      </rPr>
      <t xml:space="preserve">(Open in a new window)Google Scholar</t>
    </r>
  </si>
  <si>
    <t xml:space="preserve">Williams, Lauren C., ‘Gilday Outlines IT Vision for Navy Systems’, FCW, 31 Jul. 2019, https://fcw.com/articles/2019/07/31/gilday-confirmation-cyber-it.aspx</t>
  </si>
  <si>
    <t xml:space="preserve">Wirtz, James J., ‘Innovation for Seapower: US Navy Strategy in an Age of Acceleration’, Defense &amp; Security Analysis 36/1 (2020), 88–100. DOI:10.1080/14751798.2020.1712026 </t>
  </si>
  <si>
    <t xml:space="preserve">Adamsky, Dmitry, The Culture of Military Innovation: The Impact of Cultural Factors on the Revolution in Military Affairs in Russia, the US, and Israel (Stanford Stanford University Press 2010). </t>
  </si>
  <si>
    <t xml:space="preserve">Blake, Duncan, ‘Military Strategic Use of Outer Space’, in H. Nasu and R. McLaughlin (eds.) New Technologies and the Law of Armed Conflict (Hague: T.M.C. Asser Press 2014), 97–114. </t>
  </si>
  <si>
    <r>
      <rPr>
        <sz val="10"/>
        <rFont val="Times New Roman"/>
        <family val="1"/>
      </rPr>
      <t xml:space="preserve">Breznitz, Dan, ‘The Military as a Public Space: The Role of the IDF in the Israeli Software Innovation System’, MIT Working Paper IPC-02-004 (April 2002). </t>
    </r>
    <r>
      <rPr>
        <sz val="10"/>
        <color rgb="FF0000FF"/>
        <rFont val="Times New Roman"/>
        <family val="1"/>
      </rPr>
      <t xml:space="preserve">(Open in a new window)Google Scholar</t>
    </r>
  </si>
  <si>
    <t xml:space="preserve">Breznitz, Dan, ‘The Military as a Public Space: The Role of the IDF in the Israeli Software Innovation System’, MIT Working Paper IPC-02-004 (April 2002). </t>
  </si>
  <si>
    <r>
      <rPr>
        <sz val="10"/>
        <rFont val="Times New Roman"/>
        <family val="1"/>
      </rPr>
      <t xml:space="preserve">Brzoska, Michael, ‘Trends in Global Military and Civilian Research and Development (R&amp;D) and Their Changing Interface’, Proceedings of the International Seminar on Defence Finance and Economics 19 (2006). </t>
    </r>
    <r>
      <rPr>
        <sz val="10"/>
        <color rgb="FF0000FF"/>
        <rFont val="Times New Roman"/>
        <family val="1"/>
      </rPr>
      <t xml:space="preserve">(Open in a new window)Google Scholar</t>
    </r>
  </si>
  <si>
    <t xml:space="preserve">Brzoska, Michael, ‘Trends in Global Military and Civilian Research and Development (R&amp;D) and Their Changing Interface’, Proceedings of the International Seminar on Defence Finance and Economics 19 (2006). </t>
  </si>
  <si>
    <t xml:space="preserve">Buzan, Barry and Eric Herring, The Arms Dynamic in World Politics (Boulder Lynne Rienner 1998). </t>
  </si>
  <si>
    <r>
      <rPr>
        <sz val="10"/>
        <rFont val="Times New Roman"/>
        <family val="1"/>
      </rPr>
      <t xml:space="preserve">Caspi-Shabbat, Tali and Or Glik, ‘Mahapechat hameida baolam hamivtsai harav-zroi betzahal [The Information Revolution in the IDF’s Multi-arm Operational World]’, Bein Haktavim 18 (2018), 38–47. </t>
    </r>
    <r>
      <rPr>
        <sz val="10"/>
        <color rgb="FF0000FF"/>
        <rFont val="Times New Roman"/>
        <family val="1"/>
      </rPr>
      <t xml:space="preserve">(Open in a new window)Google Scholar</t>
    </r>
  </si>
  <si>
    <t xml:space="preserve">Caspi-Shabbat, Tali and Or Glik, ‘Mahapechat hameida baolam hamivtsai harav-zroi betzahal [The Information Revolution in the IDF’s Multi-arm Operational World]’, Bein Haktavim 18 (2018), 38–47. </t>
  </si>
  <si>
    <t xml:space="preserve">Cheung, Tai Ming, Thomas G. Mahnken, and Andrew L. Ross, ‘Frameworks for Analyzing Chinese Defense and Military Innovation’, in Tai Ming Cheung (ed.) Forging China’s Military Might: A New Framework for Assessing Innovation (Baltimore: Johns Hopkins University Press 2014), 15–46. </t>
  </si>
  <si>
    <t xml:space="preserve">Chin, Warren, ‘Technology, War and the State: Past, Present and Future’, International Affairs 95/4 (2019), 765–83. doi:10.1093/ia/iiz106 </t>
  </si>
  <si>
    <r>
      <rPr>
        <sz val="10"/>
        <rFont val="Times New Roman"/>
        <family val="1"/>
      </rPr>
      <t xml:space="preserve">Eilam, Uzi, Keshet Eilam: hatechnologia hamitkademet [Eilam’s Arc: How Israel Became a Military Technology Powerhouse] (Tel Aviv Yedioth Ahronoth 2011). </t>
    </r>
    <r>
      <rPr>
        <sz val="10"/>
        <color rgb="FF0000FF"/>
        <rFont val="Times New Roman"/>
        <family val="1"/>
      </rPr>
      <t xml:space="preserve">(Open in a new window)Google Scholar</t>
    </r>
  </si>
  <si>
    <t xml:space="preserve">Eilam, Uzi, Keshet Eilam: hatechnologia hamitkademet [Eilam’s Arc: How Israel Became a Military Technology Powerhouse] (Tel Aviv Yedioth Ahronoth 2011). </t>
  </si>
  <si>
    <r>
      <rPr>
        <sz val="10"/>
        <rFont val="Times New Roman"/>
        <family val="1"/>
      </rPr>
      <t xml:space="preserve">Faglin, Gay, ‘Merutz hachidush: Technologiot mishariot vetzvaiyot beemtzaei lehima – nekudat haizun hamatima [The Innovation Race’: Commercial and Military Technologies in Military Systems – The Right Balance] (Haifa Chaikin Chair in Geostrategy 2018). </t>
    </r>
    <r>
      <rPr>
        <sz val="10"/>
        <color rgb="FF0000FF"/>
        <rFont val="Times New Roman"/>
        <family val="1"/>
      </rPr>
      <t xml:space="preserve">(Open in a new window)Google Scholar</t>
    </r>
  </si>
  <si>
    <t xml:space="preserve">Faglin, Gay, ‘Merutz hachidush: Technologiot mishariot vetzvaiyot beemtzaei lehima – nekudat haizun hamatima [The Innovation Race’: Commercial and Military Technologies in Military Systems – The Right Balance] (Haifa Chaikin Chair in Geostrategy 2018). </t>
  </si>
  <si>
    <t xml:space="preserve">Fordham, Benjamin O., ‘A Very Sharp Sword: The Influence of Military Capabilities on American Decisions to Use Force’, Journal of Conflict Resolution 48/5 (2004), 632–56. doi:10.1177/0022002704267935 </t>
  </si>
  <si>
    <r>
      <rPr>
        <sz val="10"/>
        <rFont val="Times New Roman"/>
        <family val="1"/>
      </rPr>
      <t xml:space="preserve">Freilich, Charles D., Israeli National Security: A New Strategy for an Era of Change (New York Oxford University Press 2018). </t>
    </r>
    <r>
      <rPr>
        <sz val="10"/>
        <color rgb="FF0000FF"/>
        <rFont val="Times New Roman"/>
        <family val="1"/>
      </rPr>
      <t xml:space="preserve">(Open in a new window)Google Scholar</t>
    </r>
  </si>
  <si>
    <t xml:space="preserve">Freilich, Charles D., Israeli National Security: A New Strategy for an Era of Change (New York Oxford University Press 2018). </t>
  </si>
  <si>
    <t xml:space="preserve">Freilich, Charles D., Zion’s Dilemmas: How Israel Makes National Security Policy (Ithaca Cornell University Press 2012). </t>
  </si>
  <si>
    <r>
      <rPr>
        <sz val="10"/>
        <rFont val="Times New Roman"/>
        <family val="1"/>
      </rPr>
      <t xml:space="preserve">George, Alexander L., Forceful Persuasion: Coercive Diplomacy as an Alternative to War (Washington, D.C. United States Institute of Peace 1992). </t>
    </r>
    <r>
      <rPr>
        <sz val="10"/>
        <color rgb="FF0000FF"/>
        <rFont val="Times New Roman"/>
        <family val="1"/>
      </rPr>
      <t xml:space="preserve">(Open in a new window)Google Scholar</t>
    </r>
  </si>
  <si>
    <t xml:space="preserve">George, Alexander L., Forceful Persuasion: Coercive Diplomacy as an Alternative to War (Washington, D.C. United States Institute of Peace 1992). </t>
  </si>
  <si>
    <r>
      <rPr>
        <sz val="10"/>
        <rFont val="Times New Roman"/>
        <family val="1"/>
      </rPr>
      <t xml:space="preserve">Halevy, Hertzi A., Y. (full names unavailable), ‘Elionut modi’init beidan technologi [Intelligence Superiority in a Digital Era]’, Ma’arachot 477 (April 2018), 26–31. </t>
    </r>
    <r>
      <rPr>
        <sz val="10"/>
        <color rgb="FF0000FF"/>
        <rFont val="Times New Roman"/>
        <family val="1"/>
      </rPr>
      <t xml:space="preserve">(Open in a new window)Google Scholar</t>
    </r>
  </si>
  <si>
    <t xml:space="preserve">Halevy, Hertzi A., Y. (full names unavailable), ‘Elionut modi’init beidan technologi [Intelligence Superiority in a Digital Era]’, Ma’arachot 477 (April 2018), 26–31. </t>
  </si>
  <si>
    <r>
      <rPr>
        <sz val="10"/>
        <rFont val="Times New Roman"/>
        <family val="1"/>
      </rPr>
      <t xml:space="preserve">Hershko, Tzila, ‘‘Haroman mithadesh?’ [Is the Love Affair Starting Over?]’, Ma’arachot 456 (2014), 34–37. </t>
    </r>
    <r>
      <rPr>
        <sz val="10"/>
        <color rgb="FF0000FF"/>
        <rFont val="Times New Roman"/>
        <family val="1"/>
      </rPr>
      <t xml:space="preserve">(Open in a new window)Google Scholar</t>
    </r>
  </si>
  <si>
    <t xml:space="preserve">Hershko, Tzila, ‘‘Haroman mithadesh?’ [Is the Love Affair Starting Over?]’, Ma’arachot 456 (2014), 34–37. </t>
  </si>
  <si>
    <t xml:space="preserve">Holley, I. B., Technology and Military Doctrine: Essays on a Challenging Relationship (Maxwell Air University Press 2004). </t>
  </si>
  <si>
    <t xml:space="preserve">Honig, Benson, Miri Lerner, and Yoel Raban, ‘Social Capital and the Linkages of High-Tech Companies to the Military Defense System: Is There a Signalling Mechanism?’, Small Business Economics 27/4–5 (2006), 419–37. doi:10.1007/s11187-005-5644-y </t>
  </si>
  <si>
    <t xml:space="preserve">Jones, Clive and Yoel Guzansky, ‘Israel’s Relations with the Gulf States: Toward the Emergence of a Tacit Security Regime?’, Contemporary Security Policy 38/3 (2017), 398–419. doi:10.1080/13523260.2017.1292375 </t>
  </si>
  <si>
    <r>
      <rPr>
        <sz val="10"/>
        <rFont val="Times New Roman"/>
        <family val="1"/>
      </rPr>
      <t xml:space="preserve">Katz, Yaakov and Amir Bohbot, The Weapon Wizards: How Israel Became a High-Tech Military Superpower (New York: St. Martin’s Press 2017). </t>
    </r>
    <r>
      <rPr>
        <sz val="10"/>
        <color rgb="FF0000FF"/>
        <rFont val="Times New Roman"/>
        <family val="1"/>
      </rPr>
      <t xml:space="preserve">(Open in a new window)Google Scholar</t>
    </r>
  </si>
  <si>
    <t xml:space="preserve">Katz, Yaakov and Amir Bohbot, The Weapon Wizards: How Israel Became a High-Tech Military Superpower (New York: St. Martin’s Press 2017). </t>
  </si>
  <si>
    <r>
      <rPr>
        <sz val="10"/>
        <rFont val="Times New Roman"/>
        <family val="1"/>
      </rPr>
      <t xml:space="preserve">Krepinevich, Andrew, ‘Cavalry to Computer: The Pattern of Military Revolutions’, The National Interest 37 (1994), 30–42. </t>
    </r>
    <r>
      <rPr>
        <sz val="10"/>
        <color rgb="FF0000FF"/>
        <rFont val="Times New Roman"/>
        <family val="1"/>
      </rPr>
      <t xml:space="preserve">(Open in a new window)Google Scholar</t>
    </r>
  </si>
  <si>
    <t xml:space="preserve">Krepinevich, Andrew, ‘Cavalry to Computer: The Pattern of Military Revolutions’, The National Interest 37 (1994), 30–42. </t>
  </si>
  <si>
    <r>
      <rPr>
        <sz val="10"/>
        <rFont val="Times New Roman"/>
        <family val="1"/>
      </rPr>
      <t xml:space="preserve">Lehman, Ronald F., ‘Future Technology and Strategic Stability’, in Elbridge A. Colby and Michael S. Gerson (eds.) Strategic Stability: Contending Interpretations (Carlisle: U.S. Army War College Press 2013), 147–99. </t>
    </r>
    <r>
      <rPr>
        <sz val="10"/>
        <color rgb="FF0000FF"/>
        <rFont val="Times New Roman"/>
        <family val="1"/>
      </rPr>
      <t xml:space="preserve">(Open in a new window)Google Scholar</t>
    </r>
  </si>
  <si>
    <t xml:space="preserve">Lehman, Ronald F., ‘Future Technology and Strategic Stability’, in Elbridge A. Colby and Michael S. Gerson (eds.) Strategic Stability: Contending Interpretations (Carlisle: U.S. Army War College Press 2013), 147–99. </t>
  </si>
  <si>
    <t xml:space="preserve">Levite, Ariel, Offense and Defense in Israeli Military Doctrine (New York Routledge 2019). </t>
  </si>
  <si>
    <r>
      <rPr>
        <sz val="10"/>
        <rFont val="Times New Roman"/>
        <family val="1"/>
      </rPr>
      <t xml:space="preserve">Levy, Yagil, ‘Social Convertibility and Militarism: Evaluations of the Development of Military-Society Relations in Israel in the Early 2000s’, Journal of Political and Military Sociology 31/1 (2003), 71–96. </t>
    </r>
    <r>
      <rPr>
        <sz val="10"/>
        <color rgb="FF0000FF"/>
        <rFont val="Times New Roman"/>
        <family val="1"/>
      </rPr>
      <t xml:space="preserve">(Open in a new window)Google Scholar</t>
    </r>
  </si>
  <si>
    <t xml:space="preserve">Levy, Yagil, ‘Social Convertibility and Militarism: Evaluations of the Development of Military-Society Relations in Israel in the Early 2000s’, Journal of Political and Military Sociology 31/1 (2003), 71–96. </t>
  </si>
  <si>
    <t xml:space="preserve">Marcus, Raphael D., Israel’s Long War with Hezbollah: Military Innovation and Adaptation under Fire (Washington, D.C. Georgetown University Press 2018). </t>
  </si>
  <si>
    <r>
      <rPr>
        <sz val="10"/>
        <rFont val="Times New Roman"/>
        <family val="1"/>
      </rPr>
      <t xml:space="preserve">Nah, Liang Tuang, The Fourth Industrial Revolution’s Impact on Smaller Militaries: Boon or Bane? RSIS Working Paper no. 318 (Singapore: S. Rajaratnam School of International Studies 2018). </t>
    </r>
    <r>
      <rPr>
        <sz val="10"/>
        <color rgb="FF0000FF"/>
        <rFont val="Times New Roman"/>
        <family val="1"/>
      </rPr>
      <t xml:space="preserve">(Open in a new window)Google Scholar</t>
    </r>
  </si>
  <si>
    <t xml:space="preserve">Nah, Liang Tuang, The Fourth Industrial Revolution’s Impact on Smaller Militaries: Boon or Bane? RSIS Working Paper no. 318 (Singapore: S. Rajaratnam School of International Studies 2018). </t>
  </si>
  <si>
    <r>
      <rPr>
        <sz val="10"/>
        <rFont val="Times New Roman"/>
        <family val="1"/>
      </rPr>
      <t xml:space="preserve">Nien, Clement Wee, Yong Tay Cheng Chuan, and Ho Jin Peng, ‘At the Leading Edge: The RSAF and the Fourth Industrial Revolution’, Pointer: Journal of the Singapore Armed Forces 44/2 (2018), 1–11. </t>
    </r>
    <r>
      <rPr>
        <sz val="10"/>
        <color rgb="FF0000FF"/>
        <rFont val="Times New Roman"/>
        <family val="1"/>
      </rPr>
      <t xml:space="preserve">(Open in a new window)Google Scholar</t>
    </r>
  </si>
  <si>
    <t xml:space="preserve">Nien, Clement Wee, Yong Tay Cheng Chuan, and Ho Jin Peng, ‘At the Leading Edge: The RSAF and the Fourth Industrial Revolution’, Pointer: Journal of the Singapore Armed Forces 44/2 (2018), 1–11. </t>
  </si>
  <si>
    <r>
      <rPr>
        <sz val="10"/>
        <rFont val="Times New Roman"/>
        <family val="1"/>
      </rPr>
      <t xml:space="preserve">Posen, Barry R., The Sources of Military Doctrine: France, Britain, and Germany between the World Wars (Ithaca Cornell University Press 1984). </t>
    </r>
    <r>
      <rPr>
        <sz val="10"/>
        <color rgb="FF0000FF"/>
        <rFont val="Times New Roman"/>
        <family val="1"/>
      </rPr>
      <t xml:space="preserve">(Open in a new window)Google Scholar</t>
    </r>
  </si>
  <si>
    <t xml:space="preserve">Posen, Barry R., The Sources of Military Doctrine: France, Britain, and Germany between the World Wars (Ithaca Cornell University Press 1984). </t>
  </si>
  <si>
    <r>
      <rPr>
        <sz val="10"/>
        <rFont val="Times New Roman"/>
        <family val="1"/>
      </rPr>
      <t xml:space="preserve">Rabinovich, Itamar and Itai Brun, Israel Facing a New Middle East: In Search of National Security Strategy (Stanford Hoover Institution Press 2017). </t>
    </r>
    <r>
      <rPr>
        <sz val="10"/>
        <color rgb="FF0000FF"/>
        <rFont val="Times New Roman"/>
        <family val="1"/>
      </rPr>
      <t xml:space="preserve">(Open in a new window)Google Scholar</t>
    </r>
  </si>
  <si>
    <t xml:space="preserve">Rabinovich, Itamar and Itai Brun, Israel Facing a New Middle East: In Search of National Security Strategy (Stanford Hoover Institution Press 2017). </t>
  </si>
  <si>
    <r>
      <rPr>
        <sz val="10"/>
        <rFont val="Times New Roman"/>
        <family val="1"/>
      </rPr>
      <t xml:space="preserve">Raska, Michael, ‘Strategic Competition for Emerging Military Technologies: Comparative Paths and Patterns’, Prism 8/3 (2019), 64–81. </t>
    </r>
    <r>
      <rPr>
        <sz val="10"/>
        <color rgb="FF0000FF"/>
        <rFont val="Times New Roman"/>
        <family val="1"/>
      </rPr>
      <t xml:space="preserve">(Open in a new window)Google Scholar</t>
    </r>
  </si>
  <si>
    <t xml:space="preserve">Raska, Michael, ‘Strategic Competition for Emerging Military Technologies: Comparative Paths and Patterns’, Prism 8/3 (2019), 64–81. </t>
  </si>
  <si>
    <t xml:space="preserve">Sandler, Ronald L. (ed.), Ethics and Emerging Technologies (New York: Palgrave Macmillan 2014) </t>
  </si>
  <si>
    <r>
      <rPr>
        <sz val="10"/>
        <rFont val="Times New Roman"/>
        <family val="1"/>
      </rPr>
      <t xml:space="preserve">Schelling, Thomas C., Arms and Influence (New Heaven Yale University Press 2008). </t>
    </r>
    <r>
      <rPr>
        <sz val="10"/>
        <color rgb="FF0000FF"/>
        <rFont val="Times New Roman"/>
        <family val="1"/>
      </rPr>
      <t xml:space="preserve">(Open in a new window)Google Scholar</t>
    </r>
  </si>
  <si>
    <t xml:space="preserve">Schelling, Thomas C., Arms and Influence (New Heaven Yale University Press 2008). </t>
  </si>
  <si>
    <t xml:space="preserve">Schulzke, Marcus, ‘Drone Proliferation and the Challenge of Regulating Dual-Use Technologies’, International Studies Review 21/3 (2019), 497–517. doi:10.1093/isr/viy047 </t>
  </si>
  <si>
    <r>
      <rPr>
        <sz val="10"/>
        <rFont val="Times New Roman"/>
        <family val="1"/>
      </rPr>
      <t xml:space="preserve">Schwab, Klaus, The Fourth Industrial Revolution (New York Crown Business 2017). </t>
    </r>
    <r>
      <rPr>
        <sz val="10"/>
        <color rgb="FF0000FF"/>
        <rFont val="Times New Roman"/>
        <family val="1"/>
      </rPr>
      <t xml:space="preserve">(Open in a new window)Google Scholar</t>
    </r>
  </si>
  <si>
    <t xml:space="preserve">Schwab, Klaus, The Fourth Industrial Revolution (New York Crown Business 2017). </t>
  </si>
  <si>
    <t xml:space="preserve">Sechser, Todd S., Neil Narang, and Caitlin Talmadge, ‘Emerging Technologies and Strategic Stability in Peacetime, Crisis, and War’, Journal of Strategic Studies 42/6 (2019), 727–35. doi:10.1080/01402390.2019.1626725 </t>
  </si>
  <si>
    <r>
      <rPr>
        <sz val="10"/>
        <rFont val="Times New Roman"/>
        <family val="1"/>
      </rPr>
      <t xml:space="preserve">Sevini, Filippo et al., ‘Emerging Dual-Use Technologies and Global Supply Chain Compliance’, IAEA Symposium on International Safeguards, Vienna, 2018. </t>
    </r>
    <r>
      <rPr>
        <sz val="10"/>
        <color rgb="FF0000FF"/>
        <rFont val="Times New Roman"/>
        <family val="1"/>
      </rPr>
      <t xml:space="preserve">(Open in a new window)Google Scholar</t>
    </r>
  </si>
  <si>
    <t xml:space="preserve">Sevini, Filippo et al., ‘Emerging Dual-Use Technologies and Global Supply Chain Compliance’, IAEA Symposium on International Safeguards, Vienna, 2018. </t>
  </si>
  <si>
    <t xml:space="preserve">Swed, Ori and John S. Butler, ‘Military Capital in the Israeli Hi-tech Industry’, Armed Forces &amp; Society 41/1 (2015), 123–41. doi:10.1177/0095327X13499562 </t>
  </si>
  <si>
    <r>
      <rPr>
        <sz val="10"/>
        <rFont val="Times New Roman"/>
        <family val="1"/>
      </rPr>
      <t xml:space="preserve">Tal, Israel, Bitachon leumi: meatim mul rabim [National Security: The Few against the Many] (Tel Aviv Dvir 1996). </t>
    </r>
    <r>
      <rPr>
        <sz val="10"/>
        <color rgb="FF0000FF"/>
        <rFont val="Times New Roman"/>
        <family val="1"/>
      </rPr>
      <t xml:space="preserve">(Open in a new window)Google Scholar</t>
    </r>
  </si>
  <si>
    <t xml:space="preserve">Tal, Israel, Bitachon leumi: meatim mul rabim [National Security: The Few against the Many] (Tel Aviv Dvir 1996). </t>
  </si>
  <si>
    <t xml:space="preserve">Volpe, Tristan A., ‘Dual-use Distinguishability: How 3D-printing Shapes the Security Dilemma for Nuclear Programs’, Journal of Strategic Studies 42/6 (2019), 814–40. doi:10.1080/01402390.2019.1627210 </t>
  </si>
  <si>
    <r>
      <rPr>
        <sz val="10"/>
        <rFont val="Times New Roman"/>
        <family val="1"/>
      </rPr>
      <t xml:space="preserve">Watts, Barry D., The Military Use of Space: A Diagnostic Assessment (Washington, DC Center for Strategic and Budgetary Assessments 2001). </t>
    </r>
    <r>
      <rPr>
        <sz val="10"/>
        <color rgb="FF0000FF"/>
        <rFont val="Times New Roman"/>
        <family val="1"/>
      </rPr>
      <t xml:space="preserve">(Open in a new window)Google Scholar</t>
    </r>
  </si>
  <si>
    <t xml:space="preserve">Watts, Barry D., The Military Use of Space: A Diagnostic Assessment (Washington, DC Center for Strategic and Budgetary Assessments 2001). </t>
  </si>
  <si>
    <t xml:space="preserve">Yaakov, Itzhak, Adon klum baribua [The Memoires of Mr. Zero Squared] (Tel Aviv Yedioth Ahronoth 2011). </t>
  </si>
</sst>
</file>

<file path=xl/styles.xml><?xml version="1.0" encoding="utf-8"?>
<styleSheet xmlns="http://schemas.openxmlformats.org/spreadsheetml/2006/main">
  <numFmts count="1">
    <numFmt numFmtId="164" formatCode="General"/>
  </numFmts>
  <fonts count="7">
    <font>
      <sz val="10"/>
      <name val="Arial"/>
      <family val="2"/>
    </font>
    <font>
      <sz val="10"/>
      <name val="Arial"/>
      <family val="0"/>
    </font>
    <font>
      <sz val="10"/>
      <name val="Arial"/>
      <family val="0"/>
    </font>
    <font>
      <sz val="10"/>
      <name val="Arial"/>
      <family val="0"/>
    </font>
    <font>
      <b val="true"/>
      <sz val="10"/>
      <name val="Times New Roman"/>
      <family val="1"/>
      <charset val="1"/>
    </font>
    <font>
      <sz val="10"/>
      <name val="Times New Roman"/>
      <family val="1"/>
    </font>
    <font>
      <sz val="10"/>
      <color rgb="FF0000FF"/>
      <name val="Times New Roman"/>
      <family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patternType="solid">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www-tandfonline-com.ez54.periodicos.capes.gov.br/action/getFTRLinkout?url=http%3A%2F%2Fscholar.google.com%2Fscholar_lookup%3Fhl%3Den%26publication_year%3D2020%26author%3DDavid%2BH.%2BBerger%26title%3DForce%2BDesign%2B2030&amp;doi=10.1080%2F01402390.20" TargetMode="External"/><Relationship Id="rId2" Type="http://schemas.openxmlformats.org/officeDocument/2006/relationships/hyperlink" Target="https://www-tandfonline-com.ez54.periodicos.capes.gov.br/action/getFTRLinkout?url=http%3A%2F%2Fscholar.google.com%2Fscholar_lookup%3Fhl%3Den%26publication_year%3D2014%26author%3DErik%2BBrynjolfsson%26author%3DAndrew%2BMcAfee%26title%3DThe%2BSecond%2BMachi" TargetMode="External"/><Relationship Id="rId3" Type="http://schemas.openxmlformats.org/officeDocument/2006/relationships/hyperlink" Target="https://www-tandfonline-com.ez54.periodicos.capes.gov.br/action/getFTRLinkout?url=http%3A%2F%2Fscholar.google.com%2Fscholar_lookup%3Fhl%3Den%26publication_year%3D2003%26author%3DHenry%2BChesbrough%26title%3DOpen%2BInnovation%253A%2BThe%2BNew%2BImperative%" TargetMode="External"/><Relationship Id="rId4" Type="http://schemas.openxmlformats.org/officeDocument/2006/relationships/hyperlink" Target="https://www-tandfonline-com.ez54.periodicos.capes.gov.br/action/getFTRLinkout?url=http%3A%2F%2Fscholar.google.com%2Fscholar_lookup%3Fhl%3Den%26publication_year%3D1996%26author%3DOwen%2BReid%2BCote%26title%3DThe%2BPolitics%2Bof%2BInnovative%2BMilitary%2BDo" TargetMode="External"/><Relationship Id="rId5" Type="http://schemas.openxmlformats.org/officeDocument/2006/relationships/hyperlink" Target="https://www-tandfonline-com.ez54.periodicos.capes.gov.br/action/getFTRLinkout?url=http%3A%2F%2Fscholar.google.com%2Fscholar_lookup%3Fhl%3Den%26publication_year%3D2020%26author%3DAudrey%2BKurth%2BCronin%26title%3DPower%2Bto%2Bthe%2BPeople%253A%2BHow%2BOpen" TargetMode="External"/><Relationship Id="rId6" Type="http://schemas.openxmlformats.org/officeDocument/2006/relationships/hyperlink" Target="https://www-tandfonline-com.ez54.periodicos.capes.gov.br/action/getFTRLinkout?url=http%3A%2F%2Fscholar.google.com%2Fscholar_lookup%3Fhl%3Den%26publication_year%3D2018%26author%3DHerman%2BLeonard%26title%3DSOFWERX%253A%2BInnovation%2Bat%2BUS%2BSpecial%2BOp" TargetMode="External"/><Relationship Id="rId7" Type="http://schemas.openxmlformats.org/officeDocument/2006/relationships/hyperlink" Target="https://www-tandfonline-com.ez54.periodicos.capes.gov.br/action/getFTRLinkout?url=http%3A%2F%2Fscholar.google.com%2Fscholar_lookup%3Fhl%3Den%26publication_year%3D2020%26author%3DEric%2BLofgren%26title%3DThe%2BFuture%2Bof%2BNavy%2BSoftware%2BDevelopment%2B" TargetMode="External"/><Relationship Id="rId8" Type="http://schemas.openxmlformats.org/officeDocument/2006/relationships/hyperlink" Target="https://www-tandfonline-com.ez54.periodicos.capes.gov.br/action/getFTRLinkout?url=http%3A%2F%2Fscholar.google.com%2Fscholar%3Fhl%3Den%26q%3DLofgren%252C%2BEric%252C%2B%25E2%2580%2598The%2BLast%2BFrontier%2Bof%2BAcquisition%2BReform%253A%2BThe%2BBudget%2BP" TargetMode="External"/><Relationship Id="rId9" Type="http://schemas.openxmlformats.org/officeDocument/2006/relationships/hyperlink" Target="https://www-tandfonline-com.ez54.periodicos.capes.gov.br/action/getFTRLinkout?url=http%3A%2F%2Fscholar.google.com%2Fscholar_lookup%3Fhl%3Den%26publication_year%3D2008%26author%3DThomas%2BG.%2BMahnken%26title%3DTechnology%2Band%2Bthe%2BAmerican%2BWay%2Bof%" TargetMode="External"/><Relationship Id="rId10" Type="http://schemas.openxmlformats.org/officeDocument/2006/relationships/hyperlink" Target="https://www-tandfonline-com.ez54.periodicos.capes.gov.br/action/getFTRLinkout?url=http%3A%2F%2Fscholar.google.com%2Fscholar%3Fhl%3Den%26q%3DOffice%2Bof%2Bthe%2BSecretary%2Bof%2BDefense%252C%2B%25E2%2580%2598National%2BDefense%2BStrategy%2Bof%2Bthe%2BUnite" TargetMode="External"/><Relationship Id="rId11" Type="http://schemas.openxmlformats.org/officeDocument/2006/relationships/hyperlink" Target="https://www-tandfonline-com.ez54.periodicos.capes.gov.br/action/getFTRLinkout?url=http%3A%2F%2Fscholar.google.com%2Fscholar%3Fhl%3Den%26q%3DOffice%2Bof%2Bthe%2BSecretary%2Bof%2Bthe%2BArmy%252C%2B%25E2%2580%2598Army%2BDirective%2B2017%25E2%2580%259322%2B%2" TargetMode="External"/><Relationship Id="rId12" Type="http://schemas.openxmlformats.org/officeDocument/2006/relationships/hyperlink" Target="https://www-tandfonline-com.ez54.periodicos.capes.gov.br/action/getFTRLinkout?url=http%3A%2F%2Fscholar.google.com%2Fscholar_lookup%3Fhl%3Den%26publication_year%3D1986%26author%3DBarry%2BR.%2BPosen%26title%3DThe%2BSources%2Bof%2BMilitary%2BDoctrine%253A%2B" TargetMode="External"/><Relationship Id="rId13" Type="http://schemas.openxmlformats.org/officeDocument/2006/relationships/hyperlink" Target="https://www-tandfonline-com.ez54.periodicos.capes.gov.br/action/getFTRLinkout?url=http%3A%2F%2Fscholar.google.com%2Fscholar_lookup%3Fhl%3Den%26publication_year%3D2020%26author%3DWill%2BRoper%26title%3DTake%2Bthe%2BRed%2BPill%253A%2B_the%2BNew%2BDigital%2B" TargetMode="External"/><Relationship Id="rId14" Type="http://schemas.openxmlformats.org/officeDocument/2006/relationships/hyperlink" Target="https://www-tandfonline-com.ez54.periodicos.capes.gov.br/action/getFTRLinkout?url=http%3A%2F%2Fscholar.google.com%2Fscholar_lookup%3Fhl%3Den%26publication_year%3D1991%26author%3DStephen%2BPeter%2BRosen%26title%3DWinning%2Bthe%2BNext%2BWar%253A%2BInnovatio" TargetMode="External"/><Relationship Id="rId15" Type="http://schemas.openxmlformats.org/officeDocument/2006/relationships/hyperlink" Target="https://www-tandfonline-com.ez54.periodicos.capes.gov.br/action/getFTRLinkout?url=http%3A%2F%2Fscholar.google.com%2Fscholar_lookup%3Fhl%3Den%26publication_year%3D2020%26journal%3DNational%2BSecurity%2BCommission%2Bon%2BArtificial%2BIntelligence%26author%3" TargetMode="External"/><Relationship Id="rId16" Type="http://schemas.openxmlformats.org/officeDocument/2006/relationships/hyperlink" Target="https://www-tandfonline-com.ez54.periodicos.capes.gov.br/action/getFTRLinkout?url=http%3A%2F%2Fscholar.google.com%2Fscholar_lookup%3Fhl%3Den%26publication_year%3D2018%26journal%3DNaval%2BInnovation%2BAdvisory%2BCouncil%26author%3DNoah%2BM.%2BSpataro%26tit"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www-tandfonline-com.ez54.periodicos.capes.gov.br/action/getFTRLinkout?url=http%3A%2F%2Fscholar.google.com%2Fscholar_lookup%3Fhl%3Den%26publication_year%3D2002%26author%3DDan%2BBreznitz%26title%3DThe%2BMilitary%2Bas%2Ba%2BPublic%2BSpace%253A%2BThe%" TargetMode="External"/><Relationship Id="rId2" Type="http://schemas.openxmlformats.org/officeDocument/2006/relationships/hyperlink" Target="https://www-tandfonline-com.ez54.periodicos.capes.gov.br/action/getFTRLinkout?url=http%3A%2F%2Fscholar.google.com%2Fscholar_lookup%3Fhl%3Den%26volume%3D19%26publication_year%3D2006%26journal%3DProceedings%2Bof%2Bthe%2BInternational%2BSeminar%2Bon%2BDefenc" TargetMode="External"/><Relationship Id="rId3" Type="http://schemas.openxmlformats.org/officeDocument/2006/relationships/hyperlink" Target="https://www-tandfonline-com.ez54.periodicos.capes.gov.br/action/getFTRLinkout?url=http%3A%2F%2Fscholar.google.com%2Fscholar_lookup%3Fhl%3Den%26volume%3D18%26publication_year%3D2018%26pages%3D38-47%26journal%3DBein%2BHaktavim%26author%3DTali%2BCaspi-Shabba" TargetMode="External"/><Relationship Id="rId4" Type="http://schemas.openxmlformats.org/officeDocument/2006/relationships/hyperlink" Target="https://www-tandfonline-com.ez54.periodicos.capes.gov.br/action/getFTRLinkout?url=http%3A%2F%2Fscholar.google.com%2Fscholar_lookup%3Fhl%3Den%26publication_year%3D2011%26author%3DUzi%2BEilam%26title%3DKeshet%2BEilam%253A%2Bhatechnologia%2Bhamitkademet%2B%2" TargetMode="External"/><Relationship Id="rId5" Type="http://schemas.openxmlformats.org/officeDocument/2006/relationships/hyperlink" Target="https://www-tandfonline-com.ez54.periodicos.capes.gov.br/action/getFTRLinkout?url=http%3A%2F%2Fscholar.google.com%2Fscholar_lookup%3Fhl%3Den%26publication_year%3D2018%26author%3DGay%2BFaglin%26title%3D%25E2%2580%2598Merutz%2Bhachidush%253A%2BTechnologiot%" TargetMode="External"/><Relationship Id="rId6" Type="http://schemas.openxmlformats.org/officeDocument/2006/relationships/hyperlink" Target="https://www-tandfonline-com.ez54.periodicos.capes.gov.br/action/getFTRLinkout?url=http%3A%2F%2Fscholar.google.com%2Fscholar_lookup%3Fhl%3Den%26publication_year%3D2018%26author%3DCharles%2BD.%2BFreilich%26title%3DIsraeli%2BNational%2BSecurity%253A%2BA%2BNe" TargetMode="External"/><Relationship Id="rId7" Type="http://schemas.openxmlformats.org/officeDocument/2006/relationships/hyperlink" Target="https://www-tandfonline-com.ez54.periodicos.capes.gov.br/action/getFTRLinkout?url=http%3A%2F%2Fscholar.google.com%2Fscholar_lookup%3Fhl%3Den%26publication_year%3D1992%26author%3DAlexander%2BL.%2BGeorge%26title%3DForceful%2BPersuasion%253A%2BCoercive%2BDip" TargetMode="External"/><Relationship Id="rId8" Type="http://schemas.openxmlformats.org/officeDocument/2006/relationships/hyperlink" Target="https://www-tandfonline-com.ez54.periodicos.capes.gov.br/action/getFTRLinkout?url=http%3A%2F%2Fscholar.google.com%2Fscholar_lookup%3Fhl%3Den%26volume%3D477%26publication_year%3D2018%26pages%3D26-31%26journal%3DMa%25E2%2580%2599arachot%26author%3DHertzi%2B" TargetMode="External"/><Relationship Id="rId9" Type="http://schemas.openxmlformats.org/officeDocument/2006/relationships/hyperlink" Target="https://www-tandfonline-com.ez54.periodicos.capes.gov.br/action/getFTRLinkout?url=http%3A%2F%2Fscholar.google.com%2Fscholar_lookup%3Fhl%3Den%26volume%3D456%26publication_year%3D2014%26pages%3D34-37%26journal%3DMa%25E2%2580%2599arachot%26author%3DTzila%2BH" TargetMode="External"/><Relationship Id="rId10" Type="http://schemas.openxmlformats.org/officeDocument/2006/relationships/hyperlink" Target="https://www-tandfonline-com.ez54.periodicos.capes.gov.br/action/getFTRLinkout?url=http%3A%2F%2Fscholar.google.com%2Fscholar_lookup%3Fhl%3Den%26publication_year%3D2017%26author%3DYaakov%2BKatz%26author%3DAmir%2BBohbot%26title%3DThe%2BWeapon%2BWizards%253A%" TargetMode="External"/><Relationship Id="rId11" Type="http://schemas.openxmlformats.org/officeDocument/2006/relationships/hyperlink" Target="https://www-tandfonline-com.ez54.periodicos.capes.gov.br/action/getFTRLinkout?url=http%3A%2F%2Fscholar.google.com%2Fscholar_lookup%3Fhl%3Den%26publication_year%3D1994%26author%3DAndrew%2BKrepinevich%26title%3DCavalry%2Bto%2BComputer%253A%2BThe%2BPattern%2" TargetMode="External"/><Relationship Id="rId12" Type="http://schemas.openxmlformats.org/officeDocument/2006/relationships/hyperlink" Target="https://www-tandfonline-com.ez54.periodicos.capes.gov.br/action/getFTRLinkout?url=http%3A%2F%2Fscholar.google.com%2Fscholar_lookup%3Fhl%3Den%26publication_year%3D2013%26pages%3D147-99%26author%3DRonald%2BF.%2BLehman%2526%26title%3DFuture%2BTechnology%2Ban" TargetMode="External"/><Relationship Id="rId13" Type="http://schemas.openxmlformats.org/officeDocument/2006/relationships/hyperlink" Target="https://www-tandfonline-com.ez54.periodicos.capes.gov.br/action/getFTRLinkout?url=http%3A%2F%2Fscholar.google.com%2Fscholar_lookup%3Fhl%3Den%26volume%3D31%26publication_year%3D2003%26pages%3D71-96%26journal%3DJournal%2Bof%2BPolitical%2Band%2BMilitary%2BSo" TargetMode="External"/><Relationship Id="rId14" Type="http://schemas.openxmlformats.org/officeDocument/2006/relationships/hyperlink" Target="https://www-tandfonline-com.ez54.periodicos.capes.gov.br/action/getFTRLinkout?url=http%3A%2F%2Fscholar.google.com%2Fscholar_lookup%3Fhl%3Den%26publication_year%3D2018%26author%3DLiang%2BTuang%2BNah%26title%3DThe%2BFourth%2BIndustrial%2BRevolution%25E2%258" TargetMode="External"/><Relationship Id="rId15" Type="http://schemas.openxmlformats.org/officeDocument/2006/relationships/hyperlink" Target="https://www-tandfonline-com.ez54.periodicos.capes.gov.br/action/getFTRLinkout?url=http%3A%2F%2Fscholar.google.com%2Fscholar_lookup%3Fhl%3Den%26volume%3D44%26publication_year%3D2018%26pages%3D1-11%26journal%3DPointer%253A%2BJournal%2Bof%2Bthe%2BSingapore%2" TargetMode="External"/><Relationship Id="rId16" Type="http://schemas.openxmlformats.org/officeDocument/2006/relationships/hyperlink" Target="https://www-tandfonline-com.ez54.periodicos.capes.gov.br/action/getFTRLinkout?url=http%3A%2F%2Fscholar.google.com%2Fscholar_lookup%3Fhl%3Den%26publication_year%3D1984%26author%3DBarry%2BR.%2BPosen%26title%3DThe%2BSources%2Bof%2BMilitary%2BDoctrine%253A%2B" TargetMode="External"/><Relationship Id="rId17" Type="http://schemas.openxmlformats.org/officeDocument/2006/relationships/hyperlink" Target="https://www-tandfonline-com.ez54.periodicos.capes.gov.br/action/getFTRLinkout?url=http%3A%2F%2Fscholar.google.com%2Fscholar_lookup%3Fhl%3Den%26publication_year%3D2017%26author%3DItamar%2BRabinovich%26author%3DItai%2BBrun%26title%3DIsrael%2BFacing%2Ba%2BNe" TargetMode="External"/><Relationship Id="rId18" Type="http://schemas.openxmlformats.org/officeDocument/2006/relationships/hyperlink" Target="https://www-tandfonline-com.ez54.periodicos.capes.gov.br/action/getFTRLinkout?url=http%3A%2F%2Fscholar.google.com%2Fscholar_lookup%3Fhl%3Den%26volume%3D8%26publication_year%3D2019%26pages%3D64-81%26journal%3DPrism%26issue%3D3%26author%3DMichael%2BRaska%26" TargetMode="External"/><Relationship Id="rId19" Type="http://schemas.openxmlformats.org/officeDocument/2006/relationships/hyperlink" Target="https://www-tandfonline-com.ez54.periodicos.capes.gov.br/action/getFTRLinkout?url=http%3A%2F%2Fscholar.google.com%2Fscholar_lookup%3Fhl%3Den%26publication_year%3D2008%26author%3DThomas%2BC.%2BSchelling%26title%3DArms%2Band%2BInfluence&amp;doi=10.1080%2F014023" TargetMode="External"/><Relationship Id="rId20" Type="http://schemas.openxmlformats.org/officeDocument/2006/relationships/hyperlink" Target="https://www-tandfonline-com.ez54.periodicos.capes.gov.br/action/getFTRLinkout?url=http%3A%2F%2Fscholar.google.com%2Fscholar_lookup%3Fhl%3Den%26publication_year%3D2017%26author%3DKlaus%2BSchwab%26title%3DThe%2BFourth%2BIndustrial%2BRevolution&amp;doi=10.1080%2" TargetMode="External"/><Relationship Id="rId21" Type="http://schemas.openxmlformats.org/officeDocument/2006/relationships/hyperlink" Target="https://www-tandfonline-com.ez54.periodicos.capes.gov.br/action/getFTRLinkout?url=http%3A%2F%2Fscholar.google.com%2Fscholar_lookup%3Fhl%3Den%26publication_year%3D2018%26conference%3DIAEA%2BSymposium%2Bon%2BInternational%2BSafeguards%26author%3DFilippo%2BS" TargetMode="External"/><Relationship Id="rId22" Type="http://schemas.openxmlformats.org/officeDocument/2006/relationships/hyperlink" Target="https://www-tandfonline-com.ez54.periodicos.capes.gov.br/action/getFTRLinkout?url=http%3A%2F%2Fscholar.google.com%2Fscholar_lookup%3Fhl%3Den%26publication_year%3D1996%26author%3DIsrael%2BTal%26title%3DBitachon%2Bleumi%253A%2Bmeatim%2Bmul%2Brabim%2B%255BNa" TargetMode="External"/><Relationship Id="rId23" Type="http://schemas.openxmlformats.org/officeDocument/2006/relationships/hyperlink" Target="https://www-tandfonline-com.ez54.periodicos.capes.gov.br/action/getFTRLinkout?url=http%3A%2F%2Fscholar.google.com%2Fscholar_lookup%3Fhl%3Den%26publication_year%3D2001%26author%3DBarry%2BD.%2BWatts%26title%3DThe%2BMilitary%2BUse%2Bof%2BSpace%253A%2BA%2BDia"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L8" activeCellId="0" sqref="L8"/>
    </sheetView>
  </sheetViews>
  <sheetFormatPr defaultColWidth="11.53515625" defaultRowHeight="12.8" zeroHeight="false" outlineLevelRow="0" outlineLevelCol="0"/>
  <sheetData>
    <row r="1" customFormat="false" ht="35.05" hidden="false" customHeight="false" outlineLevel="0" collapsed="false">
      <c r="A1" s="1" t="s">
        <v>0</v>
      </c>
      <c r="B1" s="1" t="s">
        <v>1</v>
      </c>
      <c r="C1" s="1" t="s">
        <v>2</v>
      </c>
      <c r="D1" s="1" t="s">
        <v>3</v>
      </c>
      <c r="E1" s="1" t="s">
        <v>4</v>
      </c>
      <c r="F1" s="1" t="s">
        <v>5</v>
      </c>
      <c r="G1" s="1" t="s">
        <v>6</v>
      </c>
      <c r="H1" s="1" t="s">
        <v>7</v>
      </c>
      <c r="I1" s="1" t="s">
        <v>8</v>
      </c>
    </row>
    <row r="2" customFormat="false" ht="12.8" hidden="false" customHeight="false" outlineLevel="0" collapsed="false">
      <c r="A2" s="0" t="s">
        <v>9</v>
      </c>
      <c r="B2" s="0" t="s">
        <v>10</v>
      </c>
      <c r="D2" s="0" t="s">
        <v>11</v>
      </c>
      <c r="E2" s="0" t="s">
        <v>12</v>
      </c>
      <c r="F2" s="0" t="s">
        <v>13</v>
      </c>
      <c r="G2" s="0" t="s">
        <v>14</v>
      </c>
      <c r="H2" s="0" t="n">
        <v>2024</v>
      </c>
    </row>
    <row r="3" customFormat="false" ht="46.25" hidden="false" customHeight="false" outlineLevel="0" collapsed="false">
      <c r="A3" s="0" t="s">
        <v>15</v>
      </c>
      <c r="B3" s="0" t="s">
        <v>16</v>
      </c>
      <c r="D3" s="0" t="s">
        <v>17</v>
      </c>
      <c r="E3" s="0" t="s">
        <v>18</v>
      </c>
      <c r="F3" s="2" t="s">
        <v>19</v>
      </c>
      <c r="G3" s="0" t="s">
        <v>14</v>
      </c>
      <c r="H3" s="0" t="n">
        <v>2021</v>
      </c>
    </row>
    <row r="4" customFormat="false" ht="12.8" hidden="false" customHeight="false" outlineLevel="0" collapsed="false">
      <c r="A4" s="0" t="s">
        <v>20</v>
      </c>
      <c r="B4" s="0" t="s">
        <v>21</v>
      </c>
      <c r="D4" s="0" t="s">
        <v>22</v>
      </c>
      <c r="E4" s="0" t="s">
        <v>23</v>
      </c>
      <c r="F4" s="0" t="s">
        <v>24</v>
      </c>
      <c r="G4" s="0" t="s">
        <v>14</v>
      </c>
      <c r="H4" s="0" t="n">
        <v>2020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Roman,Regular"&amp;12Página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5"/>
  <sheetViews>
    <sheetView showFormulas="false" showGridLines="true" showRowColHeaders="true" showZeros="true" rightToLeft="false" tabSelected="false" showOutlineSymbols="true" defaultGridColor="true" view="normal" topLeftCell="A13" colorId="64" zoomScale="100" zoomScaleNormal="100" zoomScalePageLayoutView="100" workbookViewId="0">
      <selection pane="topLeft" activeCell="D85" activeCellId="0" sqref="D85"/>
    </sheetView>
  </sheetViews>
  <sheetFormatPr defaultColWidth="11.53515625" defaultRowHeight="12.8" zeroHeight="false" outlineLevelRow="0" outlineLevelCol="0"/>
  <cols>
    <col collapsed="false" customWidth="false" hidden="false" outlineLevel="0" max="2" min="2" style="3" width="11.53"/>
  </cols>
  <sheetData>
    <row r="1" customFormat="false" ht="12.8" hidden="false" customHeight="false" outlineLevel="0" collapsed="false">
      <c r="A1" s="4" t="s">
        <v>25</v>
      </c>
      <c r="B1" s="3" t="s">
        <v>26</v>
      </c>
      <c r="C1" s="0" t="s">
        <v>27</v>
      </c>
      <c r="D1" s="0" t="s">
        <v>28</v>
      </c>
    </row>
    <row r="2" customFormat="false" ht="135.8" hidden="false" customHeight="false" outlineLevel="0" collapsed="false">
      <c r="A2" s="4" t="s">
        <v>29</v>
      </c>
      <c r="B2" s="3" t="s">
        <v>30</v>
      </c>
      <c r="C2" s="0" t="str">
        <f aca="false">B2&amp;"|"</f>
        <v>Adams, David et al., ‘SSG Served as an Innovation Incubator,’ US Naval Institute Proceedings 143/4/1370, Apr. 2017, https://www.usni.org/magazines/proceedings/2017/april/ssg-served-innovation-incubator|</v>
      </c>
      <c r="D2" s="0" t="str">
        <f aca="false">C2</f>
        <v>Adams, David et al., ‘SSG Served as an Innovation Incubator,’ US Naval Institute Proceedings 143/4/1370, Apr. 2017, https://www.usni.org/magazines/proceedings/2017/april/ssg-served-innovation-incubator|</v>
      </c>
    </row>
    <row r="3" customFormat="false" ht="135.8" hidden="false" customHeight="false" outlineLevel="0" collapsed="false">
      <c r="A3" s="4" t="s">
        <v>31</v>
      </c>
      <c r="B3" s="3" t="s">
        <v>32</v>
      </c>
      <c r="C3" s="0" t="str">
        <f aca="false">B3&amp;"|"</f>
        <v>Air Force Enterprise Capability Collaboration Team, ‘Air Superiority 2030 Flight Plan’, 26 May 2016, https://www.af.mil/Portals/1/documents/airpower/Air%20Superiority%202030%20Flight%20Plan.pdf|</v>
      </c>
      <c r="D3" s="0" t="str">
        <f aca="false">D2&amp;C3</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v>
      </c>
    </row>
    <row r="4" customFormat="false" ht="124.6" hidden="false" customHeight="false" outlineLevel="0" collapsed="false">
      <c r="A4" s="4" t="s">
        <v>33</v>
      </c>
      <c r="B4" s="3" t="s">
        <v>34</v>
      </c>
      <c r="C4" s="0" t="str">
        <f aca="false">B4&amp;"|"</f>
        <v>Amazon Web Services, ‘Readying the Warfighter: US Navy ERP Migrates to AWS’, 22 Jan. 2020, https://aws.amazon.com/blogs/publicsector/readying-warfighter-navy-erp-migrates-aws/|</v>
      </c>
      <c r="D4" s="0" t="str">
        <f aca="false">D3&amp;C4</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v>
      </c>
    </row>
    <row r="5" customFormat="false" ht="135.8" hidden="false" customHeight="false" outlineLevel="0" collapsed="false">
      <c r="A5" s="4" t="s">
        <v>35</v>
      </c>
      <c r="B5" s="3" t="s">
        <v>36</v>
      </c>
      <c r="C5" s="0" t="str">
        <f aca="false">B5&amp;"|"</f>
        <v>Army Futures Command, ‘Command Brief Creating a New Culture of Innovation’, Command Brief, 14 Mar. 2019, https://www.slideshare.net/TheNationalGuardBure/army-futures-command|</v>
      </c>
      <c r="D5" s="0" t="str">
        <f aca="false">D4&amp;C5</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v>
      </c>
    </row>
    <row r="6" customFormat="false" ht="147" hidden="false" customHeight="false" outlineLevel="0" collapsed="false">
      <c r="A6" s="4" t="s">
        <v>37</v>
      </c>
      <c r="B6" s="3" t="s">
        <v>38</v>
      </c>
      <c r="C6" s="0" t="str">
        <f aca="false">B6&amp;"|"</f>
        <v>Bell, Patrick and Jan Kallberg, ‘The Death of the Cyber Generalist’, US Army War College War Room, 8 Jun. 2018, https://warroom.armywarcollege.edu/articles/death-of-cyber-generalist/|</v>
      </c>
      <c r="D6" s="0" t="str">
        <f aca="false">D5&amp;C6</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v>
      </c>
    </row>
    <row r="7" customFormat="false" ht="79.85" hidden="false" customHeight="false" outlineLevel="0" collapsed="false">
      <c r="A7" s="4" t="s">
        <v>39</v>
      </c>
      <c r="B7" s="3" t="s">
        <v>40</v>
      </c>
      <c r="C7" s="0" t="str">
        <f aca="false">B7&amp;"|"</f>
        <v>Berger, David H., ‘Force Design 2030’, US Marine Corps, Mar. 2020. (Open in a new window)Google Scholar|</v>
      </c>
      <c r="D7" s="0" t="str">
        <f aca="false">D6&amp;C7</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v>
      </c>
    </row>
    <row r="8" customFormat="false" ht="202.95" hidden="false" customHeight="false" outlineLevel="0" collapsed="false">
      <c r="A8" s="4" t="s">
        <v>41</v>
      </c>
      <c r="B8" s="3" t="s">
        <v>42</v>
      </c>
      <c r="C8" s="0" t="str">
        <f aca="false">B8&amp;"|"</f>
        <v>Brynjolfsson, Erik and Andrew McAfee, The Second Machine Age: Work, Progress, and Prosperity in a Time of Brilliant Technologies (New York, NY: W. W. Norton &amp; Company 2014). (Open in a new window)Google Scholar|</v>
      </c>
      <c r="D8" s="0" t="str">
        <f aca="false">D7&amp;C8</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v>
      </c>
    </row>
    <row r="9" customFormat="false" ht="124.6" hidden="false" customHeight="false" outlineLevel="0" collapsed="false">
      <c r="A9" s="4" t="s">
        <v>43</v>
      </c>
      <c r="B9" s="3" t="s">
        <v>43</v>
      </c>
      <c r="C9" s="0" t="str">
        <f aca="false">B9&amp;"|"</f>
        <v>Builder, Carl H., The Masks of War: American Military Styles in Strategy and Analysis (Baltimore, MD: Johns Hopkins UP 1989). |</v>
      </c>
      <c r="D9" s="0" t="str">
        <f aca="false">D8&amp;C9</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v>
      </c>
    </row>
    <row r="10" customFormat="false" ht="191.75" hidden="false" customHeight="false" outlineLevel="0" collapsed="false">
      <c r="A10" s="4" t="s">
        <v>44</v>
      </c>
      <c r="B10" s="3" t="s">
        <v>45</v>
      </c>
      <c r="C10" s="0" t="str">
        <f aca="false">B10&amp;"|"</f>
        <v>Carnicelli, Teri, ‘Fathomwerx Lab Designated Ventura Tech Bridge for Navy’s NavalX Network’, Naval Sea Systems Command, 14 May 2020, https://www.navsea.navy.mil/Media/News/SavedNewsModule/Article/2187535/fathomwerx-lab-designated-ventura-tech-bridge-for-navys-navalx-network/|</v>
      </c>
      <c r="D10" s="0" t="str">
        <f aca="false">D9&amp;C10</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v>
      </c>
    </row>
    <row r="11" customFormat="false" ht="147" hidden="false" customHeight="false" outlineLevel="0" collapsed="false">
      <c r="A11" s="4" t="s">
        <v>46</v>
      </c>
      <c r="B11" s="3" t="s">
        <v>47</v>
      </c>
      <c r="C11" s="0" t="str">
        <f aca="false">B11&amp;"|"</f>
        <v>Cebul, Daniel, ‘Office of Naval Research Launches Program to Speed up Innovation’, Defense News, 2 Apr. 2018, https://www.defensenews.com/digital-show-dailies/navy-league/2018/04/02/office-of-naval-research-launches-program-to-speed-up-innovation/|</v>
      </c>
      <c r="D11" s="0" t="str">
        <f aca="false">D10&amp;C11</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v>
      </c>
    </row>
    <row r="12" customFormat="false" ht="147" hidden="false" customHeight="false" outlineLevel="0" collapsed="false">
      <c r="A12" s="4" t="s">
        <v>48</v>
      </c>
      <c r="B12" s="3" t="s">
        <v>49</v>
      </c>
      <c r="C12" s="0" t="str">
        <f aca="false">B12&amp;"|"</f>
        <v>Chaillan, Nicolas, ‘Software Factories’, US Air Force Chief Software Office, 2020. Last accessed 11 Oct. 2020. https://software.af.mil/software-factories/|</v>
      </c>
      <c r="D12" s="0" t="str">
        <f aca="false">D11&amp;C12</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v>
      </c>
    </row>
    <row r="13" customFormat="false" ht="158.2" hidden="false" customHeight="false" outlineLevel="0" collapsed="false">
      <c r="A13" s="4" t="s">
        <v>50</v>
      </c>
      <c r="B13" s="3" t="s">
        <v>51</v>
      </c>
      <c r="C13" s="0" t="str">
        <f aca="false">B13&amp;"|"</f>
        <v>Chesbrough, Henry, Open Innovation: The New Imperative for Creating and Profiting from Technology (Boston, MA: Harvard Business School Press 2003). (Open in a new window)Google Scholar|</v>
      </c>
      <c r="D13" s="0" t="str">
        <f aca="false">D12&amp;C13</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v>
      </c>
    </row>
    <row r="14" customFormat="false" ht="202.95" hidden="false" customHeight="false" outlineLevel="0" collapsed="false">
      <c r="A14" s="4" t="s">
        <v>52</v>
      </c>
      <c r="B14" s="3" t="s">
        <v>52</v>
      </c>
      <c r="C14" s="0" t="str">
        <f aca="false">B14&amp;"|"</f>
        <v>Cheung, Tai Ming, ‘Innovation in China’s Defense Technology Base: Foreign Technology and Military Capabilities’, Journal of Strategic Studies 39/5–6 (2016), 728–61. DOI:10.1080/01402390.2016.1208612 |</v>
      </c>
      <c r="D14" s="0" t="str">
        <f aca="false">D13&amp;C14</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v>
      </c>
    </row>
    <row r="15" customFormat="false" ht="180.55" hidden="false" customHeight="false" outlineLevel="0" collapsed="false">
      <c r="A15" s="4" t="s">
        <v>53</v>
      </c>
      <c r="B15" s="3" t="s">
        <v>54</v>
      </c>
      <c r="C15" s="0" t="str">
        <f aca="false">B15&amp;"|"</f>
        <v>Cote, Owen Reid, Jr., ‘The Politics of Innovative Military Doctrine: The US Navy and Fleet Ballistic Missiles’, Doctoral dissertation, Massachusetts Institute of Technology, Feb. 1996. (Open in a new window)Google Scholar|</v>
      </c>
      <c r="D15" s="0" t="str">
        <f aca="false">D14&amp;C15</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|Cote, Owen Reid, Jr., ‘The Politics of Innovative Military Doctrine: The US Navy and Fleet Ballistic Missiles’, Doctoral dissertation, Massachusetts Institute of Technology, Feb. 1996. (Open in a new window)Google Scholar|</v>
      </c>
    </row>
    <row r="16" customFormat="false" ht="158.2" hidden="false" customHeight="false" outlineLevel="0" collapsed="false">
      <c r="A16" s="4" t="s">
        <v>55</v>
      </c>
      <c r="B16" s="3" t="s">
        <v>56</v>
      </c>
      <c r="C16" s="0" t="str">
        <f aca="false">B16&amp;"|"</f>
        <v>Cronin, Audrey Kurth, Power to the People: How Open Technological Innovation Is Arming Tomorrow’s Terrorists (Oxford: Oxford UP 2020). (Open in a new window)Google Scholar|</v>
      </c>
      <c r="D16" s="0" t="str">
        <f aca="false">D15&amp;C16</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|Cote, Owen Reid, Jr., ‘The Politics of Innovative Military Doctrine: The US Navy and Fleet Ballistic Missiles’, Doctoral dissertation, Massachusetts Institute of Technology, Feb. 1996. (Open in a new window)Google Scholar|Cronin, Audrey Kurth, Power to the People: How Open Technological Innovation Is Arming Tomorrow’s Terrorists (Oxford: Oxford UP 2020). (Open in a new window)Google Scholar|</v>
      </c>
    </row>
    <row r="17" customFormat="false" ht="102.2" hidden="false" customHeight="false" outlineLevel="0" collapsed="false">
      <c r="A17" s="4" t="s">
        <v>57</v>
      </c>
      <c r="B17" s="3" t="s">
        <v>58</v>
      </c>
      <c r="C17" s="0" t="str">
        <f aca="false">B17&amp;"|"</f>
        <v>Department of the Navy, ‘Unmanned Campaign Network’, 16 Mar. 2021, https://www.navy.mil/Portals/1/Strategic/20210315%20Unmanned%20Campaign_Final_LowRes.pdf?ver=LtCZ-BPlWki6vCBTdgtDMA%3D%3D|</v>
      </c>
      <c r="D17" s="0" t="str">
        <f aca="false">D16&amp;C17</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|Cote, Owen Reid, Jr., ‘The Politics of Innovative Military Doctrine: The US Navy and Fleet Ballistic Missiles’, Doctoral dissertation, Massachusetts Institute of Technology, Feb. 1996. (Open in a new window)Google Scholar|Cronin, Audrey Kurth, Power to the People: How Open Technological Innovation Is Arming Tomorrow’s Terrorists (Oxford: Oxford UP 2020). (Open in a new window)Google Scholar|Department of the Navy, ‘Unmanned Campaign Network’, 16 Mar. 2021, https://www.navy.mil/Portals/1/Strategic/20210315%20Unmanned%20Campaign_Final_LowRes.pdf?ver=LtCZ-BPlWki6vCBTdgtDMA%3D%3D|</v>
      </c>
    </row>
    <row r="18" customFormat="false" ht="180.55" hidden="false" customHeight="false" outlineLevel="0" collapsed="false">
      <c r="A18" s="4" t="s">
        <v>59</v>
      </c>
      <c r="B18" s="3" t="s">
        <v>60</v>
      </c>
      <c r="C18" s="0" t="str">
        <f aca="false">B18&amp;"|"</f>
        <v>DiNapoli, Timothy J., ‘DOD’s Use of Other Transactions for Prototype Projects Has Increased’, Government Accountability Office GAO-20–84, Nov. 2019, https://www.gao.gov/assets/710/702861.pdf|</v>
      </c>
      <c r="D18" s="0" t="str">
        <f aca="false">D17&amp;C18</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|Cote, Owen Reid, Jr., ‘The Politics of Innovative Military Doctrine: The US Navy and Fleet Ballistic Missiles’, Doctoral dissertation, Massachusetts Institute of Technology, Feb. 1996. (Open in a new window)Google Scholar|Cronin, Audrey Kurth, Power to the People: How Open Technological Innovation Is Arming Tomorrow’s Terrorists (Oxford: Oxford UP 2020). (Open in a new window)Google Scholar|Department of the Navy, ‘Unmanned Campaign Network’, 16 Mar. 2021, https://www.navy.mil/Portals/1/Strategic/20210315%20Unmanned%20Campaign_Final_LowRes.pdf?ver=LtCZ-BPlWki6vCBTdgtDMA%3D%3D|DiNapoli, Timothy J., ‘DOD’s Use of Other Transactions for Prototype Projects Has Increased’, Government Accountability Office GAO-20–84, Nov. 2019, https://www.gao.gov/assets/710/702861.pdf|</v>
      </c>
    </row>
    <row r="19" customFormat="false" ht="158.2" hidden="false" customHeight="false" outlineLevel="0" collapsed="false">
      <c r="A19" s="4" t="s">
        <v>61</v>
      </c>
      <c r="B19" s="3" t="s">
        <v>62</v>
      </c>
      <c r="C19" s="0" t="str">
        <f aca="false">B19&amp;"|"</f>
        <v>Dunn, Richard L., ‘Other Transactions Contracts: Poorly Understood, Little Used’, National Defense Magazine, 15 May 2017, https://www.nationaldefensemagazine.org/articles/2017/5/15/other-transactions-contracts-poorly-understood-little-used|</v>
      </c>
      <c r="D19" s="0" t="str">
        <f aca="false">D18&amp;C19</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|Cote, Owen Reid, Jr., ‘The Politics of Innovative Military Doctrine: The US Navy and Fleet Ballistic Missiles’, Doctoral dissertation, Massachusetts Institute of Technology, Feb. 1996. (Open in a new window)Google Scholar|Cronin, Audrey Kurth, Power to the People: How Open Technological Innovation Is Arming Tomorrow’s Terrorists (Oxford: Oxford UP 2020). (Open in a new window)Google Scholar|Department of the Navy, ‘Unmanned Campaign Network’, 16 Mar. 2021, https://www.navy.mil/Portals/1/Strategic/20210315%20Unmanned%20Campaign_Final_LowRes.pdf?ver=LtCZ-BPlWki6vCBTdgtDMA%3D%3D|DiNapoli, Timothy J., ‘DOD’s Use of Other Transactions for Prototype Projects Has Increased’, Government Accountability Office GAO-20–84, Nov. 2019, https://www.gao.gov/assets/710/702861.pdf|Dunn, Richard L., ‘Other Transactions Contracts: Poorly Understood, Little Used’, National Defense Magazine, 15 May 2017, https://www.nationaldefensemagazine.org/articles/2017/5/15/other-transactions-contracts-poorly-understood-little-used|</v>
      </c>
    </row>
    <row r="20" customFormat="false" ht="147" hidden="false" customHeight="false" outlineLevel="0" collapsed="false">
      <c r="A20" s="4" t="s">
        <v>63</v>
      </c>
      <c r="B20" s="3" t="s">
        <v>64</v>
      </c>
      <c r="C20" s="0" t="str">
        <f aca="false">B20&amp;"|"</f>
        <v>Easley, Matthew P., ‘Army Artificial Intelligence Task Force (AI-TF)’, US Army Futures Command (2019). https://www.clsac.org/uploads/5/0/6/3/50633811/2019-easley-aiml.pdf|</v>
      </c>
      <c r="D20" s="0" t="str">
        <f aca="false">D19&amp;C20</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|Cote, Owen Reid, Jr., ‘The Politics of Innovative Military Doctrine: The US Navy and Fleet Ballistic Missiles’, Doctoral dissertation, Massachusetts Institute of Technology, Feb. 1996. (Open in a new window)Google Scholar|Cronin, Audrey Kurth, Power to the People: How Open Technological Innovation Is Arming Tomorrow’s Terrorists (Oxford: Oxford UP 2020). (Open in a new window)Google Scholar|Department of the Navy, ‘Unmanned Campaign Network’, 16 Mar. 2021, https://www.navy.mil/Portals/1/Strategic/20210315%20Unmanned%20Campaign_Final_LowRes.pdf?ver=LtCZ-BPlWki6vCBTdgtDMA%3D%3D|DiNapoli, Timothy J., ‘DOD’s Use of Other Transactions for Prototype Projects Has Increased’, Government Accountability Office GAO-20–84, Nov. 2019, https://www.gao.gov/assets/710/702861.pdf|Dunn, Richard L., ‘Other Transactions Contracts: Poorly Understood, Little Used’, National Defense Magazine, 15 May 2017, https://www.nationaldefensemagazine.org/articles/2017/5/15/other-transactions-contracts-poorly-understood-little-used|Easley, Matthew P., ‘Army Artificial Intelligence Task Force (AI-TF)’, US Army Futures Command (2019). https://www.clsac.org/uploads/5/0/6/3/50633811/2019-easley-aiml.pdf|</v>
      </c>
    </row>
    <row r="21" customFormat="false" ht="236.55" hidden="false" customHeight="false" outlineLevel="0" collapsed="false">
      <c r="A21" s="4" t="s">
        <v>65</v>
      </c>
      <c r="B21" s="3" t="s">
        <v>65</v>
      </c>
      <c r="C21" s="0" t="str">
        <f aca="false">B21&amp;"|"</f>
        <v>Eckhardt, Jonathan T., Michael P. Ciuchta, and Mason Carpenter, ‘Open Innovation, Information, and Entrepreneurship within Platform Ecosystems’, Strategic Entrepreneurship Journal 12 (2018), 369–91. DOI:10.1002/sej.1298 |</v>
      </c>
      <c r="D21" s="0" t="str">
        <f aca="false">D20&amp;C21</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|Cote, Owen Reid, Jr., ‘The Politics of Innovative Military Doctrine: The US Navy and Fleet Ballistic Missiles’, Doctoral dissertation, Massachusetts Institute of Technology, Feb. 1996. (Open in a new window)Google Scholar|Cronin, Audrey Kurth, Power to the People: How Open Technological Innovation Is Arming Tomorrow’s Terrorists (Oxford: Oxford UP 2020). (Open in a new window)Google Scholar|Department of the Navy, ‘Unmanned Campaign Network’, 16 Mar. 2021, https://www.navy.mil/Portals/1/Strategic/20210315%20Unmanned%20Campaign_Final_LowRes.pdf?ver=LtCZ-BPlWki6vCBTdgtDMA%3D%3D|DiNapoli, Timothy J., ‘DOD’s Use of Other Transactions for Prototype Projects Has Increased’, Government Accountability Office GAO-20–84, Nov. 2019, https://www.gao.gov/assets/710/702861.pdf|Dunn, Richard L., ‘Other Transactions Contracts: Poorly Understood, Little Used’, National Defense Magazine, 15 May 2017, https://www.nationaldefensemagazine.org/articles/2017/5/15/other-transactions-contracts-poorly-understood-little-used|Easley, Matthew P., ‘Army Artificial Intelligence Task Force (AI-TF)’, US Army Futures Command (2019). https://www.clsac.org/uploads/5/0/6/3/50633811/2019-easley-aiml.pdf|Eckhardt, Jonathan T., Michael P. Ciuchta, and Mason Carpenter, ‘Open Innovation, Information, and Entrepreneurship within Platform Ecosystems’, Strategic Entrepreneurship Journal 12 (2018), 369–91. DOI:10.1002/sej.1298 |</v>
      </c>
    </row>
    <row r="22" customFormat="false" ht="180.55" hidden="false" customHeight="false" outlineLevel="0" collapsed="false">
      <c r="A22" s="4" t="s">
        <v>66</v>
      </c>
      <c r="B22" s="3" t="s">
        <v>67</v>
      </c>
      <c r="C22" s="0" t="str">
        <f aca="false">B22&amp;"|"</f>
        <v>Eckstein, Megan, ‘Marine Corps Information Community Growing in Capability, Trying to Find Its Place in Joint Operations’, USNI News, 7 Jan. 2020, https://news.usni.org/2020/01/07/marine-corps-information-community-growing-in-capability-trying-to-find-its-place-in-joint-operations|</v>
      </c>
      <c r="D22" s="0" t="str">
        <f aca="false">D21&amp;C22</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|Cote, Owen Reid, Jr., ‘The Politics of Innovative Military Doctrine: The US Navy and Fleet Ballistic Missiles’, Doctoral dissertation, Massachusetts Institute of Technology, Feb. 1996. (Open in a new window)Google Scholar|Cronin, Audrey Kurth, Power to the People: How Open Technological Innovation Is Arming Tomorrow’s Terrorists (Oxford: Oxford UP 2020). (Open in a new window)Google Scholar|Department of the Navy, ‘Unmanned Campaign Network’, 16 Mar. 2021, https://www.navy.mil/Portals/1/Strategic/20210315%20Unmanned%20Campaign_Final_LowRes.pdf?ver=LtCZ-BPlWki6vCBTdgtDMA%3D%3D|DiNapoli, Timothy J., ‘DOD’s Use of Other Transactions for Prototype Projects Has Increased’, Government Accountability Office GAO-20–84, Nov. 2019, https://www.gao.gov/assets/710/702861.pdf|Dunn, Richard L., ‘Other Transactions Contracts: Poorly Understood, Little Used’, National Defense Magazine, 15 May 2017, https://www.nationaldefensemagazine.org/articles/2017/5/15/other-transactions-contracts-poorly-understood-little-used|Easley, Matthew P., ‘Army Artificial Intelligence Task Force (AI-TF)’, US Army Futures Command (2019). https://www.clsac.org/uploads/5/0/6/3/50633811/2019-easley-aiml.pdf|Eckhardt, Jonathan T., Michael P. Ciuchta, and Mason Carpenter, ‘Open Innovation, Information, and Entrepreneurship within Platform Ecosystems’, Strategic Entrepreneurship Journal 12 (2018), 369–91. DOI:10.1002/sej.1298 |Eckstein, Megan, ‘Marine Corps Information Community Growing in Capability, Trying to Find Its Place in Joint Operations’, USNI News, 7 Jan. 2020, https://news.usni.org/2020/01/07/marine-corps-information-community-growing-in-capability-trying-to-find-its-place-in-joint-operations|</v>
      </c>
    </row>
    <row r="23" customFormat="false" ht="124.6" hidden="false" customHeight="false" outlineLevel="0" collapsed="false">
      <c r="A23" s="4" t="s">
        <v>68</v>
      </c>
      <c r="B23" s="3" t="s">
        <v>69</v>
      </c>
      <c r="C23" s="0" t="str">
        <f aca="false">B23&amp;"|"</f>
        <v>Eversden, Andrew, ‘The Army AI Task Force Takes on Two ‘Key’ Projects’, C4ISRnet, 10 Jun. 2020, https://www.c4isrnet.com/artificial-intelligence/2020/06/10/the-army-ai-task-force-takes-on-two-key-projects/|</v>
      </c>
      <c r="D23" s="0" t="str">
        <f aca="false">D22&amp;C23</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|Cote, Owen Reid, Jr., ‘The Politics of Innovative Military Doctrine: The US Navy and Fleet Ballistic Missiles’, Doctoral dissertation, Massachusetts Institute of Technology, Feb. 1996. (Open in a new window)Google Scholar|Cronin, Audrey Kurth, Power to the People: How Open Technological Innovation Is Arming Tomorrow’s Terrorists (Oxford: Oxford UP 2020). (Open in a new window)Google Scholar|Department of the Navy, ‘Unmanned Campaign Network’, 16 Mar. 2021, https://www.navy.mil/Portals/1/Strategic/20210315%20Unmanned%20Campaign_Final_LowRes.pdf?ver=LtCZ-BPlWki6vCBTdgtDMA%3D%3D|DiNapoli, Timothy J., ‘DOD’s Use of Other Transactions for Prototype Projects Has Increased’, Government Accountability Office GAO-20–84, Nov. 2019, https://www.gao.gov/assets/710/702861.pdf|Dunn, Richard L., ‘Other Transactions Contracts: Poorly Understood, Little Used’, National Defense Magazine, 15 May 2017, https://www.nationaldefensemagazine.org/articles/2017/5/15/other-transactions-contracts-poorly-understood-little-used|Easley, Matthew P., ‘Army Artificial Intelligence Task Force (AI-TF)’, US Army Futures Command (2019). https://www.clsac.org/uploads/5/0/6/3/50633811/2019-easley-aiml.pdf|Eckhardt, Jonathan T., Michael P. Ciuchta, and Mason Carpenter, ‘Open Innovation, Information, and Entrepreneurship within Platform Ecosystems’, Strategic Entrepreneurship Journal 12 (2018), 369–91. DOI:10.1002/sej.1298 |Eckstein, Megan, ‘Marine Corps Information Community Growing in Capability, Trying to Find Its Place in Joint Operations’, USNI News, 7 Jan. 2020, https://news.usni.org/2020/01/07/marine-corps-information-community-growing-in-capability-trying-to-find-its-place-in-joint-operations|Eversden, Andrew, ‘The Army AI Task Force Takes on Two ‘Key’ Projects’, C4ISRnet, 10 Jun. 2020, https://www.c4isrnet.com/artificial-intelligence/2020/06/10/the-army-ai-task-force-takes-on-two-key-projects/|</v>
      </c>
    </row>
    <row r="24" customFormat="false" ht="191.75" hidden="false" customHeight="false" outlineLevel="0" collapsed="false">
      <c r="A24" s="4" t="s">
        <v>70</v>
      </c>
      <c r="B24" s="3" t="s">
        <v>70</v>
      </c>
      <c r="C24" s="0" t="str">
        <f aca="false">B24&amp;"|"</f>
        <v>Farrell, Theo, Sten Rynning, and Terry Terriff, Transforming Military Power since the Cold War: Britain, France, and the United States, 1991–2012 (Cambridge, UK: Cambridge UP 2013). |</v>
      </c>
      <c r="D24" s="0" t="str">
        <f aca="false">D23&amp;C24</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|Cote, Owen Reid, Jr., ‘The Politics of Innovative Military Doctrine: The US Navy and Fleet Ballistic Missiles’, Doctoral dissertation, Massachusetts Institute of Technology, Feb. 1996. (Open in a new window)Google Scholar|Cronin, Audrey Kurth, Power to the People: How Open Technological Innovation Is Arming Tomorrow’s Terrorists (Oxford: Oxford UP 2020). (Open in a new window)Google Scholar|Department of the Navy, ‘Unmanned Campaign Network’, 16 Mar. 2021, https://www.navy.mil/Portals/1/Strategic/20210315%20Unmanned%20Campaign_Final_LowRes.pdf?ver=LtCZ-BPlWki6vCBTdgtDMA%3D%3D|DiNapoli, Timothy J., ‘DOD’s Use of Other Transactions for Prototype Projects Has Increased’, Government Accountability Office GAO-20–84, Nov. 2019, https://www.gao.gov/assets/710/702861.pdf|Dunn, Richard L., ‘Other Transactions Contracts: Poorly Understood, Little Used’, National Defense Magazine, 15 May 2017, https://www.nationaldefensemagazine.org/articles/2017/5/15/other-transactions-contracts-poorly-understood-little-used|Easley, Matthew P., ‘Army Artificial Intelligence Task Force (AI-TF)’, US Army Futures Command (2019). https://www.clsac.org/uploads/5/0/6/3/50633811/2019-easley-aiml.pdf|Eckhardt, Jonathan T., Michael P. Ciuchta, and Mason Carpenter, ‘Open Innovation, Information, and Entrepreneurship within Platform Ecosystems’, Strategic Entrepreneurship Journal 12 (2018), 369–91. DOI:10.1002/sej.1298 |Eckstein, Megan, ‘Marine Corps Information Community Growing in Capability, Trying to Find Its Place in Joint Operations’, USNI News, 7 Jan. 2020, https://news.usni.org/2020/01/07/marine-corps-information-community-growing-in-capability-trying-to-find-its-place-in-joint-operations|Eversden, Andrew, ‘The Army AI Task Force Takes on Two ‘Key’ Projects’, C4ISRnet, 10 Jun. 2020, https://www.c4isrnet.com/artificial-intelligence/2020/06/10/the-army-ai-task-force-takes-on-two-key-projects/|Farrell, Theo, Sten Rynning, and Terry Terriff, Transforming Military Power since the Cold War: Britain, France, and the United States, 1991–2012 (Cambridge, UK: Cambridge UP 2013). |</v>
      </c>
    </row>
    <row r="25" customFormat="false" ht="202.95" hidden="false" customHeight="false" outlineLevel="0" collapsed="false">
      <c r="A25" s="4" t="s">
        <v>71</v>
      </c>
      <c r="B25" s="3" t="s">
        <v>72</v>
      </c>
      <c r="C25" s="0" t="str">
        <f aca="false">B25&amp;"|"</f>
        <v>Feickert, Andrew and Brendan W. McGarry, ‘The Army’s Modernization Strategy: Congressional Oversight Considerations’, Congressional Research Service, 7 Feb. 2020, https://www.everycrsreport.com/files/20200207_R46216_444d93a212c95fd2fba1a596d520ca263a833307.pdf|</v>
      </c>
      <c r="D25" s="0" t="str">
        <f aca="false">D24&amp;C25</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|Cote, Owen Reid, Jr., ‘The Politics of Innovative Military Doctrine: The US Navy and Fleet Ballistic Missiles’, Doctoral dissertation, Massachusetts Institute of Technology, Feb. 1996. (Open in a new window)Google Scholar|Cronin, Audrey Kurth, Power to the People: How Open Technological Innovation Is Arming Tomorrow’s Terrorists (Oxford: Oxford UP 2020). (Open in a new window)Google Scholar|Department of the Navy, ‘Unmanned Campaign Network’, 16 Mar. 2021, https://www.navy.mil/Portals/1/Strategic/20210315%20Unmanned%20Campaign_Final_LowRes.pdf?ver=LtCZ-BPlWki6vCBTdgtDMA%3D%3D|DiNapoli, Timothy J., ‘DOD’s Use of Other Transactions for Prototype Projects Has Increased’, Government Accountability Office GAO-20–84, Nov. 2019, https://www.gao.gov/assets/710/702861.pdf|Dunn, Richard L., ‘Other Transactions Contracts: Poorly Understood, Little Used’, National Defense Magazine, 15 May 2017, https://www.nationaldefensemagazine.org/articles/2017/5/15/other-transactions-contracts-poorly-understood-little-used|Easley, Matthew P., ‘Army Artificial Intelligence Task Force (AI-TF)’, US Army Futures Command (2019). https://www.clsac.org/uploads/5/0/6/3/50633811/2019-easley-aiml.pdf|Eckhardt, Jonathan T., Michael P. Ciuchta, and Mason Carpenter, ‘Open Innovation, Information, and Entrepreneurship within Platform Ecosystems’, Strategic Entrepreneurship Journal 12 (2018), 369–91. DOI:10.1002/sej.1298 |Eckstein, Megan, ‘Marine Corps Information Community Growing in Capability, Trying to Find Its Place in Joint Operations’, USNI News, 7 Jan. 2020, https://news.usni.org/2020/01/07/marine-corps-information-community-growing-in-capability-trying-to-find-its-place-in-joint-operations|Eversden, Andrew, ‘The Army AI Task Force Takes on Two ‘Key’ Projects’, C4ISRnet, 10 Jun. 2020, https://www.c4isrnet.com/artificial-intelligence/2020/06/10/the-army-ai-task-force-takes-on-two-key-projects/|Farrell, Theo, Sten Rynning, and Terry Terriff, Transforming Military Power since the Cold War: Britain, France, and the United States, 1991–2012 (Cambridge, UK: Cambridge UP 2013). |Feickert, Andrew and Brendan W. McGarry, ‘The Army’s Modernization Strategy: Congressional Oversight Considerations’, Congressional Research Service, 7 Feb. 2020, https://www.everycrsreport.com/files/20200207_R46216_444d93a212c95fd2fba1a596d520ca263a833307.pdf|</v>
      </c>
    </row>
    <row r="26" customFormat="false" ht="169.4" hidden="false" customHeight="false" outlineLevel="0" collapsed="false">
      <c r="A26" s="4" t="s">
        <v>73</v>
      </c>
      <c r="B26" s="3" t="s">
        <v>74</v>
      </c>
      <c r="C26" s="0" t="str">
        <f aca="false">B26&amp;"|"</f>
        <v>Feickert, Andrew, ‘The Army’s Future Combat System (FCS): Background and Issues for Congress’, Congressional Research Services, 5 May 2006, https://www.everycrsreport.com/files/20060505_RL32888_bd0c5e4691669243ba6aacea43a6ce91c182246e.pdf|</v>
      </c>
      <c r="D26" s="0" t="str">
        <f aca="false">D25&amp;C26</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|Cote, Owen Reid, Jr., ‘The Politics of Innovative Military Doctrine: The US Navy and Fleet Ballistic Missiles’, Doctoral dissertation, Massachusetts Institute of Technology, Feb. 1996. (Open in a new window)Google Scholar|Cronin, Audrey Kurth, Power to the People: How Open Technological Innovation Is Arming Tomorrow’s Terrorists (Oxford: Oxford UP 2020). (Open in a new window)Google Scholar|Department of the Navy, ‘Unmanned Campaign Network’, 16 Mar. 2021, https://www.navy.mil/Portals/1/Strategic/20210315%20Unmanned%20Campaign_Final_LowRes.pdf?ver=LtCZ-BPlWki6vCBTdgtDMA%3D%3D|DiNapoli, Timothy J., ‘DOD’s Use of Other Transactions for Prototype Projects Has Increased’, Government Accountability Office GAO-20–84, Nov. 2019, https://www.gao.gov/assets/710/702861.pdf|Dunn, Richard L., ‘Other Transactions Contracts: Poorly Understood, Little Used’, National Defense Magazine, 15 May 2017, https://www.nationaldefensemagazine.org/articles/2017/5/15/other-transactions-contracts-poorly-understood-little-used|Easley, Matthew P., ‘Army Artificial Intelligence Task Force (AI-TF)’, US Army Futures Command (2019). https://www.clsac.org/uploads/5/0/6/3/50633811/2019-easley-aiml.pdf|Eckhardt, Jonathan T., Michael P. Ciuchta, and Mason Carpenter, ‘Open Innovation, Information, and Entrepreneurship within Platform Ecosystems’, Strategic Entrepreneurship Journal 12 (2018), 369–91. DOI:10.1002/sej.1298 |Eckstein, Megan, ‘Marine Corps Information Community Growing in Capability, Trying to Find Its Place in Joint Operations’, USNI News, 7 Jan. 2020, https://news.usni.org/2020/01/07/marine-corps-information-community-growing-in-capability-trying-to-find-its-place-in-joint-operations|Eversden, Andrew, ‘The Army AI Task Force Takes on Two ‘Key’ Projects’, C4ISRnet, 10 Jun. 2020, https://www.c4isrnet.com/artificial-intelligence/2020/06/10/the-army-ai-task-force-takes-on-two-key-projects/|Farrell, Theo, Sten Rynning, and Terry Terriff, Transforming Military Power since the Cold War: Britain, France, and the United States, 1991–2012 (Cambridge, UK: Cambridge UP 2013). |Feickert, Andrew and Brendan W. McGarry, ‘The Army’s Modernization Strategy: Congressional Oversight Considerations’, Congressional Research Service, 7 Feb. 2020, https://www.everycrsreport.com/files/20200207_R46216_444d93a212c95fd2fba1a596d520ca263a833307.pdf|Feickert, Andrew, ‘The Army’s Future Combat System (FCS): Background and Issues for Congress’, Congressional Research Services, 5 May 2006, https://www.everycrsreport.com/files/20060505_RL32888_bd0c5e4691669243ba6aacea43a6ce91c182246e.pdf|</v>
      </c>
    </row>
    <row r="27" customFormat="false" ht="191.75" hidden="false" customHeight="false" outlineLevel="0" collapsed="false">
      <c r="A27" s="4" t="s">
        <v>75</v>
      </c>
      <c r="B27" s="3" t="s">
        <v>75</v>
      </c>
      <c r="C27" s="0" t="str">
        <f aca="false">B27&amp;"|"</f>
        <v>Fiott, Daniel, ‘A Revolution Too Far? US Defence Innovation, Europe and NATO’s Military-Technological Gap’, Journal of Strategic Studies 40/3 (2017), 417–37. DOI:10.1080/01402390.2016.1176565 |</v>
      </c>
      <c r="D27" s="0" t="str">
        <f aca="false">D26&amp;C27</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|Cote, Owen Reid, Jr., ‘The Politics of Innovative Military Doctrine: The US Navy and Fleet Ballistic Missiles’, Doctoral dissertation, Massachusetts Institute of Technology, Feb. 1996. (Open in a new window)Google Scholar|Cronin, Audrey Kurth, Power to the People: How Open Technological Innovation Is Arming Tomorrow’s Terrorists (Oxford: Oxford UP 2020). (Open in a new window)Google Scholar|Department of the Navy, ‘Unmanned Campaign Network’, 16 Mar. 2021, https://www.navy.mil/Portals/1/Strategic/20210315%20Unmanned%20Campaign_Final_LowRes.pdf?ver=LtCZ-BPlWki6vCBTdgtDMA%3D%3D|DiNapoli, Timothy J., ‘DOD’s Use of Other Transactions for Prototype Projects Has Increased’, Government Accountability Office GAO-20–84, Nov. 2019, https://www.gao.gov/assets/710/702861.pdf|Dunn, Richard L., ‘Other Transactions Contracts: Poorly Understood, Little Used’, National Defense Magazine, 15 May 2017, https://www.nationaldefensemagazine.org/articles/2017/5/15/other-transactions-contracts-poorly-understood-little-used|Easley, Matthew P., ‘Army Artificial Intelligence Task Force (AI-TF)’, US Army Futures Command (2019). https://www.clsac.org/uploads/5/0/6/3/50633811/2019-easley-aiml.pdf|Eckhardt, Jonathan T., Michael P. Ciuchta, and Mason Carpenter, ‘Open Innovation, Information, and Entrepreneurship within Platform Ecosystems’, Strategic Entrepreneurship Journal 12 (2018), 369–91. DOI:10.1002/sej.1298 |Eckstein, Megan, ‘Marine Corps Information Community Growing in Capability, Trying to Find Its Place in Joint Operations’, USNI News, 7 Jan. 2020, https://news.usni.org/2020/01/07/marine-corps-information-community-growing-in-capability-trying-to-find-its-place-in-joint-operations|Eversden, Andrew, ‘The Army AI Task Force Takes on Two ‘Key’ Projects’, C4ISRnet, 10 Jun. 2020, https://www.c4isrnet.com/artificial-intelligence/2020/06/10/the-army-ai-task-force-takes-on-two-key-projects/|Farrell, Theo, Sten Rynning, and Terry Terriff, Transforming Military Power since the Cold War: Britain, France, and the United States, 1991–2012 (Cambridge, UK: Cambridge UP 2013). |Feickert, Andrew and Brendan W. McGarry, ‘The Army’s Modernization Strategy: Congressional Oversight Considerations’, Congressional Research Service, 7 Feb. 2020, https://www.everycrsreport.com/files/20200207_R46216_444d93a212c95fd2fba1a596d520ca263a833307.pdf|Feickert, Andrew, ‘The Army’s Future Combat System (FCS): Background and Issues for Congress’, Congressional Research Services, 5 May 2006, https://www.everycrsreport.com/files/20060505_RL32888_bd0c5e4691669243ba6aacea43a6ce91c182246e.pdf|Fiott, Daniel, ‘A Revolution Too Far? US Defence Innovation, Europe and NATO’s Military-Technological Gap’, Journal of Strategic Studies 40/3 (2017), 417–37. DOI:10.1080/01402390.2016.1176565 |</v>
      </c>
    </row>
    <row r="28" customFormat="false" ht="135.8" hidden="false" customHeight="false" outlineLevel="0" collapsed="false">
      <c r="A28" s="4" t="s">
        <v>76</v>
      </c>
      <c r="B28" s="3" t="s">
        <v>76</v>
      </c>
      <c r="C28" s="0" t="str">
        <f aca="false">B28&amp;"|"</f>
        <v>Gansler, Jacques, Democracy’s Arsenal: Creating a Twenty-First Century Defense Industry (Cambridge, MA: MIT UP 2011). |</v>
      </c>
      <c r="D28" s="0" t="str">
        <f aca="false">D27&amp;C28</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|Cote, Owen Reid, Jr., ‘The Politics of Innovative Military Doctrine: The US Navy and Fleet Ballistic Missiles’, Doctoral dissertation, Massachusetts Institute of Technology, Feb. 1996. (Open in a new window)Google Scholar|Cronin, Audrey Kurth, Power to the People: How Open Technological Innovation Is Arming Tomorrow’s Terrorists (Oxford: Oxford UP 2020). (Open in a new window)Google Scholar|Department of the Navy, ‘Unmanned Campaign Network’, 16 Mar. 2021, https://www.navy.mil/Portals/1/Strategic/20210315%20Unmanned%20Campaign_Final_LowRes.pdf?ver=LtCZ-BPlWki6vCBTdgtDMA%3D%3D|DiNapoli, Timothy J., ‘DOD’s Use of Other Transactions for Prototype Projects Has Increased’, Government Accountability Office GAO-20–84, Nov. 2019, https://www.gao.gov/assets/710/702861.pdf|Dunn, Richard L., ‘Other Transactions Contracts: Poorly Understood, Little Used’, National Defense Magazine, 15 May 2017, https://www.nationaldefensemagazine.org/articles/2017/5/15/other-transactions-contracts-poorly-understood-little-used|Easley, Matthew P., ‘Army Artificial Intelligence Task Force (AI-TF)’, US Army Futures Command (2019). https://www.clsac.org/uploads/5/0/6/3/50633811/2019-easley-aiml.pdf|Eckhardt, Jonathan T., Michael P. Ciuchta, and Mason Carpenter, ‘Open Innovation, Information, and Entrepreneurship within Platform Ecosystems’, Strategic Entrepreneurship Journal 12 (2018), 369–91. DOI:10.1002/sej.1298 |Eckstein, Megan, ‘Marine Corps Information Community Growing in Capability, Trying to Find Its Place in Joint Operations’, USNI News, 7 Jan. 2020, https://news.usni.org/2020/01/07/marine-corps-information-community-growing-in-capability-trying-to-find-its-place-in-joint-operations|Eversden, Andrew, ‘The Army AI Task Force Takes on Two ‘Key’ Projects’, C4ISRnet, 10 Jun. 2020, https://www.c4isrnet.com/artificial-intelligence/2020/06/10/the-army-ai-task-force-takes-on-two-key-projects/|Farrell, Theo, Sten Rynning, and Terry Terriff, Transforming Military Power since the Cold War: Britain, France, and the United States, 1991–2012 (Cambridge, UK: Cambridge UP 2013). |Feickert, Andrew and Brendan W. McGarry, ‘The Army’s Modernization Strategy: Congressional Oversight Considerations’, Congressional Research Service, 7 Feb. 2020, https://www.everycrsreport.com/files/20200207_R46216_444d93a212c95fd2fba1a596d520ca263a833307.pdf|Feickert, Andrew, ‘The Army’s Future Combat System (FCS): Background and Issues for Congress’, Congressional Research Services, 5 May 2006, https://www.everycrsreport.com/files/20060505_RL32888_bd0c5e4691669243ba6aacea43a6ce91c182246e.pdf|Fiott, Daniel, ‘A Revolution Too Far? US Defence Innovation, Europe and NATO’s Military-Technological Gap’, Journal of Strategic Studies 40/3 (2017), 417–37. DOI:10.1080/01402390.2016.1176565 |Gansler, Jacques, Democracy’s Arsenal: Creating a Twenty-First Century Defense Industry (Cambridge, MA: MIT UP 2011). |</v>
      </c>
    </row>
    <row r="29" customFormat="false" ht="191.75" hidden="false" customHeight="false" outlineLevel="0" collapsed="false">
      <c r="A29" s="4" t="s">
        <v>77</v>
      </c>
      <c r="B29" s="3" t="s">
        <v>78</v>
      </c>
      <c r="C29" s="0" t="str">
        <f aca="false">B29&amp;"|"</f>
        <v>Geurts, James F., ‘The Department of the Navy Fiscal Year 2020 Budget Request for Science and Technology Programs’, House Armed Services Committee, 28 Mar. 2019. https://armedservices.house.gov/_cache/files/c/4/c46d8d7f-cade-4487-bae0-f87943aa205e/5AD8EA25BA971C25EF67C083034A43F2.hhrg-116-as26-wstate-geurtsj-20190328.pdf|</v>
      </c>
      <c r="D29" s="0" t="str">
        <f aca="false">D28&amp;C29</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|Cote, Owen Reid, Jr., ‘The Politics of Innovative Military Doctrine: The US Navy and Fleet Ballistic Missiles’, Doctoral dissertation, Massachusetts Institute of Technology, Feb. 1996. (Open in a new window)Google Scholar|Cronin, Audrey Kurth, Power to the People: How Open Technological Innovation Is Arming Tomorrow’s Terrorists (Oxford: Oxford UP 2020). (Open in a new window)Google Scholar|Department of the Navy, ‘Unmanned Campaign Network’, 16 Mar. 2021, https://www.navy.mil/Portals/1/Strategic/20210315%20Unmanned%20Campaign_Final_LowRes.pdf?ver=LtCZ-BPlWki6vCBTdgtDMA%3D%3D|DiNapoli, Timothy J., ‘DOD’s Use of Other Transactions for Prototype Projects Has Increased’, Government Accountability Office GAO-20–84, Nov. 2019, https://www.gao.gov/assets/710/702861.pdf|Dunn, Richard L., ‘Other Transactions Contracts: Poorly Understood, Little Used’, National Defense Magazine, 15 May 2017, https://www.nationaldefensemagazine.org/articles/2017/5/15/other-transactions-contracts-poorly-understood-little-used|Easley, Matthew P., ‘Army Artificial Intelligence Task Force (AI-TF)’, US Army Futures Command (2019). https://www.clsac.org/uploads/5/0/6/3/50633811/2019-easley-aiml.pdf|Eckhardt, Jonathan T., Michael P. Ciuchta, and Mason Carpenter, ‘Open Innovation, Information, and Entrepreneurship within Platform Ecosystems’, Strategic Entrepreneurship Journal 12 (2018), 369–91. DOI:10.1002/sej.1298 |Eckstein, Megan, ‘Marine Corps Information Community Growing in Capability, Trying to Find Its Place in Joint Operations’, USNI News, 7 Jan. 2020, https://news.usni.org/2020/01/07/marine-corps-information-community-growing-in-capability-trying-to-find-its-place-in-joint-operations|Eversden, Andrew, ‘The Army AI Task Force Takes on Two ‘Key’ Projects’, C4ISRnet, 10 Jun. 2020, https://www.c4isrnet.com/artificial-intelligence/2020/06/10/the-army-ai-task-force-takes-on-two-key-projects/|Farrell, Theo, Sten Rynning, and Terry Terriff, Transforming Military Power since the Cold War: Britain, France, and the United States, 1991–2012 (Cambridge, UK: Cambridge UP 2013). |Feickert, Andrew and Brendan W. McGarry, ‘The Army’s Modernization Strategy: Congressional Oversight Considerations’, Congressional Research Service, 7 Feb. 2020, https://www.everycrsreport.com/files/20200207_R46216_444d93a212c95fd2fba1a596d520ca263a833307.pdf|Feickert, Andrew, ‘The Army’s Future Combat System (FCS): Background and Issues for Congress’, Congressional Research Services, 5 May 2006, https://www.everycrsreport.com/files/20060505_RL32888_bd0c5e4691669243ba6aacea43a6ce91c182246e.pdf|Fiott, Daniel, ‘A Revolution Too Far? US Defence Innovation, Europe and NATO’s Military-Technological Gap’, Journal of Strategic Studies 40/3 (2017), 417–37. DOI:10.1080/01402390.2016.1176565 |Gansler, Jacques, Democracy’s Arsenal: Creating a Twenty-First Century Defense Industry (Cambridge, MA: MIT UP 2011). |Geurts, James F., ‘The Department of the Navy Fiscal Year 2020 Budget Request for Science and Technology Programs’, House Armed Services Committee, 28 Mar. 2019. https://armedservices.house.gov/_cache/files/c/4/c46d8d7f-cade-4487-bae0-f87943aa205e/5AD8EA25BA971C25EF67C083034A43F2.hhrg-116-as26-wstate-geurtsj-20190328.pdf|</v>
      </c>
    </row>
    <row r="30" customFormat="false" ht="236.55" hidden="false" customHeight="false" outlineLevel="0" collapsed="false">
      <c r="A30" s="4" t="s">
        <v>79</v>
      </c>
      <c r="B30" s="3" t="s">
        <v>79</v>
      </c>
      <c r="C30" s="0" t="str">
        <f aca="false">B30&amp;"|"</f>
        <v>Gilli, Andrea and Mauro Gilli, ‘Why China Has Not Caught Up Yet: Military-Technological Superiority and the Limits of Imitation, Reverse Engineering, and Cyber Espionage’, International Security 43/3 ( Winter 2018/19), 141–89. DOI:10.1162/isec_a_00337 |</v>
      </c>
      <c r="D30" s="0" t="str">
        <f aca="false">D29&amp;C30</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|Cote, Owen Reid, Jr., ‘The Politics of Innovative Military Doctrine: The US Navy and Fleet Ballistic Missiles’, Doctoral dissertation, Massachusetts Institute of Technology, Feb. 1996. (Open in a new window)Google Scholar|Cronin, Audrey Kurth, Power to the People: How Open Technological Innovation Is Arming Tomorrow’s Terrorists (Oxford: Oxford UP 2020). (Open in a new window)Google Scholar|Department of the Navy, ‘Unmanned Campaign Network’, 16 Mar. 2021, https://www.navy.mil/Portals/1/Strategic/20210315%20Unmanned%20Campaign_Final_LowRes.pdf?ver=LtCZ-BPlWki6vCBTdgtDMA%3D%3D|DiNapoli, Timothy J., ‘DOD’s Use of Other Transactions for Prototype Projects Has Increased’, Government Accountability Office GAO-20–84, Nov. 2019, https://www.gao.gov/assets/710/702861.pdf|Dunn, Richard L., ‘Other Transactions Contracts: Poorly Understood, Little Used’, National Defense Magazine, 15 May 2017, https://www.nationaldefensemagazine.org/articles/2017/5/15/other-transactions-contracts-poorly-understood-little-used|Easley, Matthew P., ‘Army Artificial Intelligence Task Force (AI-TF)’, US Army Futures Command (2019). https://www.clsac.org/uploads/5/0/6/3/50633811/2019-easley-aiml.pdf|Eckhardt, Jonathan T., Michael P. Ciuchta, and Mason Carpenter, ‘Open Innovation, Information, and Entrepreneurship within Platform Ecosystems’, Strategic Entrepreneurship Journal 12 (2018), 369–91. DOI:10.1002/sej.1298 |Eckstein, Megan, ‘Marine Corps Information Community Growing in Capability, Trying to Find Its Place in Joint Operations’, USNI News, 7 Jan. 2020, https://news.usni.org/2020/01/07/marine-corps-information-community-growing-in-capability-trying-to-find-its-place-in-joint-operations|Eversden, Andrew, ‘The Army AI Task Force Takes on Two ‘Key’ Projects’, C4ISRnet, 10 Jun. 2020, https://www.c4isrnet.com/artificial-intelligence/2020/06/10/the-army-ai-task-force-takes-on-two-key-projects/|Farrell, Theo, Sten Rynning, and Terry Terriff, Transforming Military Power since the Cold War: Britain, France, and the United States, 1991–2012 (Cambridge, UK: Cambridge UP 2013). |Feickert, Andrew and Brendan W. McGarry, ‘The Army’s Modernization Strategy: Congressional Oversight Considerations’, Congressional Research Service, 7 Feb. 2020, https://www.everycrsreport.com/files/20200207_R46216_444d93a212c95fd2fba1a596d520ca263a833307.pdf|Feickert, Andrew, ‘The Army’s Future Combat System (FCS): Background and Issues for Congress’, Congressional Research Services, 5 May 2006, https://www.everycrsreport.com/files/20060505_RL32888_bd0c5e4691669243ba6aacea43a6ce91c182246e.pdf|Fiott, Daniel, ‘A Revolution Too Far? US Defence Innovation, Europe and NATO’s Military-Technological Gap’, Journal of Strategic Studies 40/3 (2017), 417–37. DOI:10.1080/01402390.2016.1176565 |Gansler, Jacques, Democracy’s Arsenal: Creating a Twenty-First Century Defense Industry (Cambridge, MA: MIT UP 2011). |Geurts, James F., ‘The Department of the Navy Fiscal Year 2020 Budget Request for Science and Technology Programs’, House Armed Services Committee, 28 Mar. 2019. https://armedservices.house.gov/_cache/files/c/4/c46d8d7f-cade-4487-bae0-f87943aa205e/5AD8EA25BA971C25EF67C083034A43F2.hhrg-116-as26-wstate-geurtsj-20190328.pdf|Gilli, Andrea and Mauro Gilli, ‘Why China Has Not Caught Up Yet: Military-Technological Superiority and the Limits of Imitation, Reverse Engineering, and Cyber Espionage’, International Security 43/3 ( Winter 2018/19), 141–89. DOI:10.1162/isec_a_00337 |</v>
      </c>
    </row>
    <row r="31" customFormat="false" ht="191.75" hidden="false" customHeight="false" outlineLevel="0" collapsed="false">
      <c r="A31" s="4" t="s">
        <v>80</v>
      </c>
      <c r="B31" s="3" t="s">
        <v>81</v>
      </c>
      <c r="C31" s="0" t="str">
        <f aca="false">B31&amp;"|"</f>
        <v>Glavy, Matthew G. and Brett Goldstein, ‘The Battle for Mon Cala: Getting the Military to Deliver Its Own Tech Solutions’, War On The Rocks, 20 Aug. 2020, https://warontherocks.com/2020/08/the-battle-for-mon-cala-getting-the-military-to-deliver-its-own-tech-solutions/|</v>
      </c>
      <c r="D31" s="0" t="str">
        <f aca="false">D30&amp;C31</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|Cote, Owen Reid, Jr., ‘The Politics of Innovative Military Doctrine: The US Navy and Fleet Ballistic Missiles’, Doctoral dissertation, Massachusetts Institute of Technology, Feb. 1996. (Open in a new window)Google Scholar|Cronin, Audrey Kurth, Power to the People: How Open Technological Innovation Is Arming Tomorrow’s Terrorists (Oxford: Oxford UP 2020). (Open in a new window)Google Scholar|Department of the Navy, ‘Unmanned Campaign Network’, 16 Mar. 2021, https://www.navy.mil/Portals/1/Strategic/20210315%20Unmanned%20Campaign_Final_LowRes.pdf?ver=LtCZ-BPlWki6vCBTdgtDMA%3D%3D|DiNapoli, Timothy J., ‘DOD’s Use of Other Transactions for Prototype Projects Has Increased’, Government Accountability Office GAO-20–84, Nov. 2019, https://www.gao.gov/assets/710/702861.pdf|Dunn, Richard L., ‘Other Transactions Contracts: Poorly Understood, Little Used’, National Defense Magazine, 15 May 2017, https://www.nationaldefensemagazine.org/articles/2017/5/15/other-transactions-contracts-poorly-understood-little-used|Easley, Matthew P., ‘Army Artificial Intelligence Task Force (AI-TF)’, US Army Futures Command (2019). https://www.clsac.org/uploads/5/0/6/3/50633811/2019-easley-aiml.pdf|Eckhardt, Jonathan T., Michael P. Ciuchta, and Mason Carpenter, ‘Open Innovation, Information, and Entrepreneurship within Platform Ecosystems’, Strategic Entrepreneurship Journal 12 (2018), 369–91. DOI:10.1002/sej.1298 |Eckstein, Megan, ‘Marine Corps Information Community Growing in Capability, Trying to Find Its Place in Joint Operations’, USNI News, 7 Jan. 2020, https://news.usni.org/2020/01/07/marine-corps-information-community-growing-in-capability-trying-to-find-its-place-in-joint-operations|Eversden, Andrew, ‘The Army AI Task Force Takes on Two ‘Key’ Projects’, C4ISRnet, 10 Jun. 2020, https://www.c4isrnet.com/artificial-intelligence/2020/06/10/the-army-ai-task-force-takes-on-two-key-projects/|Farrell, Theo, Sten Rynning, and Terry Terriff, Transforming Military Power since the Cold War: Britain, France, and the United States, 1991–2012 (Cambridge, UK: Cambridge UP 2013). |Feickert, Andrew and Brendan W. McGarry, ‘The Army’s Modernization Strategy: Congressional Oversight Considerations’, Congressional Research Service, 7 Feb. 2020, https://www.everycrsreport.com/files/20200207_R46216_444d93a212c95fd2fba1a596d520ca263a833307.pdf|Feickert, Andrew, ‘The Army’s Future Combat System (FCS): Background and Issues for Congress’, Congressional Research Services, 5 May 2006, https://www.everycrsreport.com/files/20060505_RL32888_bd0c5e4691669243ba6aacea43a6ce91c182246e.pdf|Fiott, Daniel, ‘A Revolution Too Far? US Defence Innovation, Europe and NATO’s Military-Technological Gap’, Journal of Strategic Studies 40/3 (2017), 417–37. DOI:10.1080/01402390.2016.1176565 |Gansler, Jacques, Democracy’s Arsenal: Creating a Twenty-First Century Defense Industry (Cambridge, MA: MIT UP 2011). |Geurts, James F., ‘The Department of the Navy Fiscal Year 2020 Budget Request for Science and Technology Programs’, House Armed Services Committee, 28 Mar. 2019. https://armedservices.house.gov/_cache/files/c/4/c46d8d7f-cade-4487-bae0-f87943aa205e/5AD8EA25BA971C25EF67C083034A43F2.hhrg-116-as26-wstate-geurtsj-20190328.pdf|Gilli, Andrea and Mauro Gilli, ‘Why China Has Not Caught Up Yet: Military-Technological Superiority and the Limits of Imitation, Reverse Engineering, and Cyber Espionage’, International Security 43/3 ( Winter 2018/19), 141–89. DOI:10.1162/isec_a_00337 |Glavy, Matthew G. and Brett Goldstein, ‘The Battle for Mon Cala: Getting the Military to Deliver Its Own Tech Solutions’, War On The Rocks, 20 Aug. 2020, https://warontherocks.com/2020/08/the-battle-for-mon-cala-getting-the-military-to-deliver-its-own-tech-solutions/|</v>
      </c>
    </row>
    <row r="32" customFormat="false" ht="169.4" hidden="false" customHeight="false" outlineLevel="0" collapsed="false">
      <c r="A32" s="4" t="s">
        <v>82</v>
      </c>
      <c r="B32" s="3" t="s">
        <v>82</v>
      </c>
      <c r="C32" s="0" t="str">
        <f aca="false">B32&amp;"|"</f>
        <v>Griffin, Stuart, ‘Military Innovation Studies: Multidisciplinary or Lacking Discipline?’, Journal of Strategic Studies 40/1/2 (2016), 196–224. DOI:10.1080/01402390.2016.1196358 |</v>
      </c>
      <c r="D32" s="0" t="str">
        <f aca="false">D31&amp;C32</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|Cote, Owen Reid, Jr., ‘The Politics of Innovative Military Doctrine: The US Navy and Fleet Ballistic Missiles’, Doctoral dissertation, Massachusetts Institute of Technology, Feb. 1996. (Open in a new window)Google Scholar|Cronin, Audrey Kurth, Power to the People: How Open Technological Innovation Is Arming Tomorrow’s Terrorists (Oxford: Oxford UP 2020). (Open in a new window)Google Scholar|Department of the Navy, ‘Unmanned Campaign Network’, 16 Mar. 2021, https://www.navy.mil/Portals/1/Strategic/20210315%20Unmanned%20Campaign_Final_LowRes.pdf?ver=LtCZ-BPlWki6vCBTdgtDMA%3D%3D|DiNapoli, Timothy J., ‘DOD’s Use of Other Transactions for Prototype Projects Has Increased’, Government Accountability Office GAO-20–84, Nov. 2019, https://www.gao.gov/assets/710/702861.pdf|Dunn, Richard L., ‘Other Transactions Contracts: Poorly Understood, Little Used’, National Defense Magazine, 15 May 2017, https://www.nationaldefensemagazine.org/articles/2017/5/15/other-transactions-contracts-poorly-understood-little-used|Easley, Matthew P., ‘Army Artificial Intelligence Task Force (AI-TF)’, US Army Futures Command (2019). https://www.clsac.org/uploads/5/0/6/3/50633811/2019-easley-aiml.pdf|Eckhardt, Jonathan T., Michael P. Ciuchta, and Mason Carpenter, ‘Open Innovation, Information, and Entrepreneurship within Platform Ecosystems’, Strategic Entrepreneurship Journal 12 (2018), 369–91. DOI:10.1002/sej.1298 |Eckstein, Megan, ‘Marine Corps Information Community Growing in Capability, Trying to Find Its Place in Joint Operations’, USNI News, 7 Jan. 2020, https://news.usni.org/2020/01/07/marine-corps-information-community-growing-in-capability-trying-to-find-its-place-in-joint-operations|Eversden, Andrew, ‘The Army AI Task Force Takes on Two ‘Key’ Projects’, C4ISRnet, 10 Jun. 2020, https://www.c4isrnet.com/artificial-intelligence/2020/06/10/the-army-ai-task-force-takes-on-two-key-projects/|Farrell, Theo, Sten Rynning, and Terry Terriff, Transforming Military Power since the Cold War: Britain, France, and the United States, 1991–2012 (Cambridge, UK: Cambridge UP 2013). |Feickert, Andrew and Brendan W. McGarry, ‘The Army’s Modernization Strategy: Congressional Oversight Considerations’, Congressional Research Service, 7 Feb. 2020, https://www.everycrsreport.com/files/20200207_R46216_444d93a212c95fd2fba1a596d520ca263a833307.pdf|Feickert, Andrew, ‘The Army’s Future Combat System (FCS): Background and Issues for Congress’, Congressional Research Services, 5 May 2006, https://www.everycrsreport.com/files/20060505_RL32888_bd0c5e4691669243ba6aacea43a6ce91c182246e.pdf|Fiott, Daniel, ‘A Revolution Too Far? US Defence Innovation, Europe and NATO’s Military-Technological Gap’, Journal of Strategic Studies 40/3 (2017), 417–37. DOI:10.1080/01402390.2016.1176565 |Gansler, Jacques, Democracy’s Arsenal: Creating a Twenty-First Century Defense Industry (Cambridge, MA: MIT UP 2011). |Geurts, James F., ‘The Department of the Navy Fiscal Year 2020 Budget Request for Science and Technology Programs’, House Armed Services Committee, 28 Mar. 2019. https://armedservices.house.gov/_cache/files/c/4/c46d8d7f-cade-4487-bae0-f87943aa205e/5AD8EA25BA971C25EF67C083034A43F2.hhrg-116-as26-wstate-geurtsj-20190328.pdf|Gilli, Andrea and Mauro Gilli, ‘Why China Has Not Caught Up Yet: Military-Technological Superiority and the Limits of Imitation, Reverse Engineering, and Cyber Espionage’, International Security 43/3 ( Winter 2018/19), 141–89. DOI:10.1162/isec_a_00337 |Glavy, Matthew G. and Brett Goldstein, ‘The Battle for Mon Cala: Getting the Military to Deliver Its Own Tech Solutions’, War On The Rocks, 20 Aug. 2020, https://warontherocks.com/2020/08/the-battle-for-mon-cala-getting-the-military-to-deliver-its-own-tech-solutions/|Griffin, Stuart, ‘Military Innovation Studies: Multidisciplinary or Lacking Discipline?’, Journal of Strategic Studies 40/1/2 (2016), 196–224. DOI:10.1080/01402390.2016.1196358 |</v>
      </c>
    </row>
    <row r="33" customFormat="false" ht="158.2" hidden="false" customHeight="false" outlineLevel="0" collapsed="false">
      <c r="A33" s="4" t="s">
        <v>83</v>
      </c>
      <c r="B33" s="3" t="s">
        <v>83</v>
      </c>
      <c r="C33" s="0" t="str">
        <f aca="false">B33&amp;"|"</f>
        <v>Grissom, Andrew, ‘The Future of Military Innovation Studies’, Journal of Strategic Studies 29/5 (Oct. 2006), 905–34. DOI:10.1080/01402390600901067. |</v>
      </c>
      <c r="D33" s="0" t="str">
        <f aca="false">D32&amp;C33</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|Cote, Owen Reid, Jr., ‘The Politics of Innovative Military Doctrine: The US Navy and Fleet Ballistic Missiles’, Doctoral dissertation, Massachusetts Institute of Technology, Feb. 1996. (Open in a new window)Google Scholar|Cronin, Audrey Kurth, Power to the People: How Open Technological Innovation Is Arming Tomorrow’s Terrorists (Oxford: Oxford UP 2020). (Open in a new window)Google Scholar|Department of the Navy, ‘Unmanned Campaign Network’, 16 Mar. 2021, https://www.navy.mil/Portals/1/Strategic/20210315%20Unmanned%20Campaign_Final_LowRes.pdf?ver=LtCZ-BPlWki6vCBTdgtDMA%3D%3D|DiNapoli, Timothy J., ‘DOD’s Use of Other Transactions for Prototype Projects Has Increased’, Government Accountability Office GAO-20–84, Nov. 2019, https://www.gao.gov/assets/710/702861.pdf|Dunn, Richard L., ‘Other Transactions Contracts: Poorly Understood, Little Used’, National Defense Magazine, 15 May 2017, https://www.nationaldefensemagazine.org/articles/2017/5/15/other-transactions-contracts-poorly-understood-little-used|Easley, Matthew P., ‘Army Artificial Intelligence Task Force (AI-TF)’, US Army Futures Command (2019). https://www.clsac.org/uploads/5/0/6/3/50633811/2019-easley-aiml.pdf|Eckhardt, Jonathan T., Michael P. Ciuchta, and Mason Carpenter, ‘Open Innovation, Information, and Entrepreneurship within Platform Ecosystems’, Strategic Entrepreneurship Journal 12 (2018), 369–91. DOI:10.1002/sej.1298 |Eckstein, Megan, ‘Marine Corps Information Community Growing in Capability, Trying to Find Its Place in Joint Operations’, USNI News, 7 Jan. 2020, https://news.usni.org/2020/01/07/marine-corps-information-community-growing-in-capability-trying-to-find-its-place-in-joint-operations|Eversden, Andrew, ‘The Army AI Task Force Takes on Two ‘Key’ Projects’, C4ISRnet, 10 Jun. 2020, https://www.c4isrnet.com/artificial-intelligence/2020/06/10/the-army-ai-task-force-takes-on-two-key-projects/|Farrell, Theo, Sten Rynning, and Terry Terriff, Transforming Military Power since the Cold War: Britain, France, and the United States, 1991–2012 (Cambridge, UK: Cambridge UP 2013). |Feickert, Andrew and Brendan W. McGarry, ‘The Army’s Modernization Strategy: Congressional Oversight Considerations’, Congressional Research Service, 7 Feb. 2020, https://www.everycrsreport.com/files/20200207_R46216_444d93a212c95fd2fba1a596d520ca263a833307.pdf|Feickert, Andrew, ‘The Army’s Future Combat System (FCS): Background and Issues for Congress’, Congressional Research Services, 5 May 2006, https://www.everycrsreport.com/files/20060505_RL32888_bd0c5e4691669243ba6aacea43a6ce91c182246e.pdf|Fiott, Daniel, ‘A Revolution Too Far? US Defence Innovation, Europe and NATO’s Military-Technological Gap’, Journal of Strategic Studies 40/3 (2017), 417–37. DOI:10.1080/01402390.2016.1176565 |Gansler, Jacques, Democracy’s Arsenal: Creating a Twenty-First Century Defense Industry (Cambridge, MA: MIT UP 2011). |Geurts, James F., ‘The Department of the Navy Fiscal Year 2020 Budget Request for Science and Technology Programs’, House Armed Services Committee, 28 Mar. 2019. https://armedservices.house.gov/_cache/files/c/4/c46d8d7f-cade-4487-bae0-f87943aa205e/5AD8EA25BA971C25EF67C083034A43F2.hhrg-116-as26-wstate-geurtsj-20190328.pdf|Gilli, Andrea and Mauro Gilli, ‘Why China Has Not Caught Up Yet: Military-Technological Superiority and the Limits of Imitation, Reverse Engineering, and Cyber Espionage’, International Security 43/3 ( Winter 2018/19), 141–89. DOI:10.1162/isec_a_00337 |Glavy, Matthew G. and Brett Goldstein, ‘The Battle for Mon Cala: Getting the Military to Deliver Its Own Tech Solutions’, War On The Rocks, 20 Aug. 2020, https://warontherocks.com/2020/08/the-battle-for-mon-cala-getting-the-military-to-deliver-its-own-tech-solutions/|Griffin, Stuart, ‘Military Innovation Studies: Multidisciplinary or Lacking Discipline?’, Journal of Strategic Studies 40/1/2 (2016), 196–224. DOI:10.1080/01402390.2016.1196358 |Grissom, Andrew, ‘The Future of Military Innovation Studies’, Journal of Strategic Studies 29/5 (Oct. 2006), 905–34. DOI:10.1080/01402390600901067. |</v>
      </c>
    </row>
    <row r="34" customFormat="false" ht="225.35" hidden="false" customHeight="false" outlineLevel="0" collapsed="false">
      <c r="A34" s="4" t="s">
        <v>84</v>
      </c>
      <c r="B34" s="3" t="s">
        <v>85</v>
      </c>
      <c r="C34" s="0" t="str">
        <f aca="false">B34&amp;"|"</f>
        <v>Haduch, Thomas W., ‘Maintaining the US Army Research, Development and Engineering Command Prototype Integration Facilities’, Defense Acquisition University Press. May 2014, https://www.dau.edu/training/career-development/sscf/Documents/T.%20HaduchSSCF2014SRPOPSECFINAL.pdf|</v>
      </c>
      <c r="D34" s="0" t="str">
        <f aca="false">D33&amp;C34</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|Cote, Owen Reid, Jr., ‘The Politics of Innovative Military Doctrine: The US Navy and Fleet Ballistic Missiles’, Doctoral dissertation, Massachusetts Institute of Technology, Feb. 1996. (Open in a new window)Google Scholar|Cronin, Audrey Kurth, Power to the People: How Open Technological Innovation Is Arming Tomorrow’s Terrorists (Oxford: Oxford UP 2020). (Open in a new window)Google Scholar|Department of the Navy, ‘Unmanned Campaign Network’, 16 Mar. 2021, https://www.navy.mil/Portals/1/Strategic/20210315%20Unmanned%20Campaign_Final_LowRes.pdf?ver=LtCZ-BPlWki6vCBTdgtDMA%3D%3D|DiNapoli, Timothy J., ‘DOD’s Use of Other Transactions for Prototype Projects Has Increased’, Government Accountability Office GAO-20–84, Nov. 2019, https://www.gao.gov/assets/710/702861.pdf|Dunn, Richard L., ‘Other Transactions Contracts: Poorly Understood, Little Used’, National Defense Magazine, 15 May 2017, https://www.nationaldefensemagazine.org/articles/2017/5/15/other-transactions-contracts-poorly-understood-little-used|Easley, Matthew P., ‘Army Artificial Intelligence Task Force (AI-TF)’, US Army Futures Command (2019). https://www.clsac.org/uploads/5/0/6/3/50633811/2019-easley-aiml.pdf|Eckhardt, Jonathan T., Michael P. Ciuchta, and Mason Carpenter, ‘Open Innovation, Information, and Entrepreneurship within Platform Ecosystems’, Strategic Entrepreneurship Journal 12 (2018), 369–91. DOI:10.1002/sej.1298 |Eckstein, Megan, ‘Marine Corps Information Community Growing in Capability, Trying to Find Its Place in Joint Operations’, USNI News, 7 Jan. 2020, https://news.usni.org/2020/01/07/marine-corps-information-community-growing-in-capability-trying-to-find-its-place-in-joint-operations|Eversden, Andrew, ‘The Army AI Task Force Takes on Two ‘Key’ Projects’, C4ISRnet, 10 Jun. 2020, https://www.c4isrnet.com/artificial-intelligence/2020/06/10/the-army-ai-task-force-takes-on-two-key-projects/|Farrell, Theo, Sten Rynning, and Terry Terriff, Transforming Military Power since the Cold War: Britain, France, and the United States, 1991–2012 (Cambridge, UK: Cambridge UP 2013). |Feickert, Andrew and Brendan W. McGarry, ‘The Army’s Modernization Strategy: Congressional Oversight Considerations’, Congressional Research Service, 7 Feb. 2020, https://www.everycrsreport.com/files/20200207_R46216_444d93a212c95fd2fba1a596d520ca263a833307.pdf|Feickert, Andrew, ‘The Army’s Future Combat System (FCS): Background and Issues for Congress’, Congressional Research Services, 5 May 2006, https://www.everycrsreport.com/files/20060505_RL32888_bd0c5e4691669243ba6aacea43a6ce91c182246e.pdf|Fiott, Daniel, ‘A Revolution Too Far? US Defence Innovation, Europe and NATO’s Military-Technological Gap’, Journal of Strategic Studies 40/3 (2017), 417–37. DOI:10.1080/01402390.2016.1176565 |Gansler, Jacques, Democracy’s Arsenal: Creating a Twenty-First Century Defense Industry (Cambridge, MA: MIT UP 2011). |Geurts, James F., ‘The Department of the Navy Fiscal Year 2020 Budget Request for Science and Technology Programs’, House Armed Services Committee, 28 Mar. 2019. https://armedservices.house.gov/_cache/files/c/4/c46d8d7f-cade-4487-bae0-f87943aa205e/5AD8EA25BA971C25EF67C083034A43F2.hhrg-116-as26-wstate-geurtsj-20190328.pdf|Gilli, Andrea and Mauro Gilli, ‘Why China Has Not Caught Up Yet: Military-Technological Superiority and the Limits of Imitation, Reverse Engineering, and Cyber Espionage’, International Security 43/3 ( Winter 2018/19), 141–89. DOI:10.1162/isec_a_00337 |Glavy, Matthew G. and Brett Goldstein, ‘The Battle for Mon Cala: Getting the Military to Deliver Its Own Tech Solutions’, War On The Rocks, 20 Aug. 2020, https://warontherocks.com/2020/08/the-battle-for-mon-cala-getting-the-military-to-deliver-its-own-tech-solutions/|Griffin, Stuart, ‘Military Innovation Studies: Multidisciplinary or Lacking Discipline?’, Journal of Strategic Studies 40/1/2 (2016), 196–224. DOI:10.1080/01402390.2016.1196358 |Grissom, Andrew, ‘The Future of Military Innovation Studies’, Journal of Strategic Studies 29/5 (Oct. 2006), 905–34. DOI:10.1080/01402390600901067. |Haduch, Thomas W., ‘Maintaining the US Army Research, Development and Engineering Command Prototype Integration Facilities’, Defense Acquisition University Press. May 2014, https://www.dau.edu/training/career-development/sscf/Documents/T.%20HaduchSSCF2014SRPOPSECFINAL.pdf|</v>
      </c>
    </row>
    <row r="35" customFormat="false" ht="169.4" hidden="false" customHeight="false" outlineLevel="0" collapsed="false">
      <c r="A35" s="4" t="s">
        <v>86</v>
      </c>
      <c r="B35" s="3" t="s">
        <v>87</v>
      </c>
      <c r="C35" s="0" t="str">
        <f aca="false">B35&amp;"|"</f>
        <v>Harper, Jon, ‘Army to Release New Wish List for Optionally Manned Fighting Vehicle’, National Defense Magazine, 19 Feb. 2020, https://www.nationaldefensemagazine.org/articles/2020/2/19/army-to-release-new-wish-list-for-optionally-manned-fighting-vehicle|</v>
      </c>
      <c r="D35" s="0" t="str">
        <f aca="false">D34&amp;C35</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|Cote, Owen Reid, Jr., ‘The Politics of Innovative Military Doctrine: The US Navy and Fleet Ballistic Missiles’, Doctoral dissertation, Massachusetts Institute of Technology, Feb. 1996. (Open in a new window)Google Scholar|Cronin, Audrey Kurth, Power to the People: How Open Technological Innovation Is Arming Tomorrow’s Terrorists (Oxford: Oxford UP 2020). (Open in a new window)Google Scholar|Department of the Navy, ‘Unmanned Campaign Network’, 16 Mar. 2021, https://www.navy.mil/Portals/1/Strategic/20210315%20Unmanned%20Campaign_Final_LowRes.pdf?ver=LtCZ-BPlWki6vCBTdgtDMA%3D%3D|DiNapoli, Timothy J., ‘DOD’s Use of Other Transactions for Prototype Projects Has Increased’, Government Accountability Office GAO-20–84, Nov. 2019, https://www.gao.gov/assets/710/702861.pdf|Dunn, Richard L., ‘Other Transactions Contracts: Poorly Understood, Little Used’, National Defense Magazine, 15 May 2017, https://www.nationaldefensemagazine.org/articles/2017/5/15/other-transactions-contracts-poorly-understood-little-used|Easley, Matthew P., ‘Army Artificial Intelligence Task Force (AI-TF)’, US Army Futures Command (2019). https://www.clsac.org/uploads/5/0/6/3/50633811/2019-easley-aiml.pdf|Eckhardt, Jonathan T., Michael P. Ciuchta, and Mason Carpenter, ‘Open Innovation, Information, and Entrepreneurship within Platform Ecosystems’, Strategic Entrepreneurship Journal 12 (2018), 369–91. DOI:10.1002/sej.1298 |Eckstein, Megan, ‘Marine Corps Information Community Growing in Capability, Trying to Find Its Place in Joint Operations’, USNI News, 7 Jan. 2020, https://news.usni.org/2020/01/07/marine-corps-information-community-growing-in-capability-trying-to-find-its-place-in-joint-operations|Eversden, Andrew, ‘The Army AI Task Force Takes on Two ‘Key’ Projects’, C4ISRnet, 10 Jun. 2020, https://www.c4isrnet.com/artificial-intelligence/2020/06/10/the-army-ai-task-force-takes-on-two-key-projects/|Farrell, Theo, Sten Rynning, and Terry Terriff, Transforming Military Power since the Cold War: Britain, France, and the United States, 1991–2012 (Cambridge, UK: Cambridge UP 2013). |Feickert, Andrew and Brendan W. McGarry, ‘The Army’s Modernization Strategy: Congressional Oversight Considerations’, Congressional Research Service, 7 Feb. 2020, https://www.everycrsreport.com/files/20200207_R46216_444d93a212c95fd2fba1a596d520ca263a833307.pdf|Feickert, Andrew, ‘The Army’s Future Combat System (FCS): Background and Issues for Congress’, Congressional Research Services, 5 May 2006, https://www.everycrsreport.com/files/20060505_RL32888_bd0c5e4691669243ba6aacea43a6ce91c182246e.pdf|Fiott, Daniel, ‘A Revolution Too Far? US Defence Innovation, Europe and NATO’s Military-Technological Gap’, Journal of Strategic Studies 40/3 (2017), 417–37. DOI:10.1080/01402390.2016.1176565 |Gansler, Jacques, Democracy’s Arsenal: Creating a Twenty-First Century Defense Industry (Cambridge, MA: MIT UP 2011). |Geurts, James F., ‘The Department of the Navy Fiscal Year 2020 Budget Request for Science and Technology Programs’, House Armed Services Committee, 28 Mar. 2019. https://armedservices.house.gov/_cache/files/c/4/c46d8d7f-cade-4487-bae0-f87943aa205e/5AD8EA25BA971C25EF67C083034A43F2.hhrg-116-as26-wstate-geurtsj-20190328.pdf|Gilli, Andrea and Mauro Gilli, ‘Why China Has Not Caught Up Yet: Military-Technological Superiority and the Limits of Imitation, Reverse Engineering, and Cyber Espionage’, International Security 43/3 ( Winter 2018/19), 141–89. DOI:10.1162/isec_a_00337 |Glavy, Matthew G. and Brett Goldstein, ‘The Battle for Mon Cala: Getting the Military to Deliver Its Own Tech Solutions’, War On The Rocks, 20 Aug. 2020, https://warontherocks.com/2020/08/the-battle-for-mon-cala-getting-the-military-to-deliver-its-own-tech-solutions/|Griffin, Stuart, ‘Military Innovation Studies: Multidisciplinary or Lacking Discipline?’, Journal of Strategic Studies 40/1/2 (2016), 196–224. DOI:10.1080/01402390.2016.1196358 |Grissom, Andrew, ‘The Future of Military Innovation Studies’, Journal of Strategic Studies 29/5 (Oct. 2006), 905–34. DOI:10.1080/01402390600901067. |Haduch, Thomas W., ‘Maintaining the US Army Research, Development and Engineering Command Prototype Integration Facilities’, Defense Acquisition University Press. May 2014, https://www.dau.edu/training/career-development/sscf/Documents/T.%20HaduchSSCF2014SRPOPSECFINAL.pdf|Harper, Jon, ‘Army to Release New Wish List for Optionally Manned Fighting Vehicle’, National Defense Magazine, 19 Feb. 2020, https://www.nationaldefensemagazine.org/articles/2020/2/19/army-to-release-new-wish-list-for-optionally-manned-fighting-vehicle|</v>
      </c>
    </row>
    <row r="36" customFormat="false" ht="147" hidden="false" customHeight="false" outlineLevel="0" collapsed="false">
      <c r="A36" s="4" t="s">
        <v>88</v>
      </c>
      <c r="B36" s="3" t="s">
        <v>88</v>
      </c>
      <c r="C36" s="0" t="str">
        <f aca="false">B36&amp;"|"</f>
        <v>Horowitz, Michael C., The Diffusion of Military Power: Causes and Consequences for International Politics (Princeton, NJ: Princeton UP 2010). |</v>
      </c>
      <c r="D36" s="0" t="str">
        <f aca="false">D35&amp;C36</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|Cote, Owen Reid, Jr., ‘The Politics of Innovative Military Doctrine: The US Navy and Fleet Ballistic Missiles’, Doctoral dissertation, Massachusetts Institute of Technology, Feb. 1996. (Open in a new window)Google Scholar|Cronin, Audrey Kurth, Power to the People: How Open Technological Innovation Is Arming Tomorrow’s Terrorists (Oxford: Oxford UP 2020). (Open in a new window)Google Scholar|Department of the Navy, ‘Unmanned Campaign Network’, 16 Mar. 2021, https://www.navy.mil/Portals/1/Strategic/20210315%20Unmanned%20Campaign_Final_LowRes.pdf?ver=LtCZ-BPlWki6vCBTdgtDMA%3D%3D|DiNapoli, Timothy J., ‘DOD’s Use of Other Transactions for Prototype Projects Has Increased’, Government Accountability Office GAO-20–84, Nov. 2019, https://www.gao.gov/assets/710/702861.pdf|Dunn, Richard L., ‘Other Transactions Contracts: Poorly Understood, Little Used’, National Defense Magazine, 15 May 2017, https://www.nationaldefensemagazine.org/articles/2017/5/15/other-transactions-contracts-poorly-understood-little-used|Easley, Matthew P., ‘Army Artificial Intelligence Task Force (AI-TF)’, US Army Futures Command (2019). https://www.clsac.org/uploads/5/0/6/3/50633811/2019-easley-aiml.pdf|Eckhardt, Jonathan T., Michael P. Ciuchta, and Mason Carpenter, ‘Open Innovation, Information, and Entrepreneurship within Platform Ecosystems’, Strategic Entrepreneurship Journal 12 (2018), 369–91. DOI:10.1002/sej.1298 |Eckstein, Megan, ‘Marine Corps Information Community Growing in Capability, Trying to Find Its Place in Joint Operations’, USNI News, 7 Jan. 2020, https://news.usni.org/2020/01/07/marine-corps-information-community-growing-in-capability-trying-to-find-its-place-in-joint-operations|Eversden, Andrew, ‘The Army AI Task Force Takes on Two ‘Key’ Projects’, C4ISRnet, 10 Jun. 2020, https://www.c4isrnet.com/artificial-intelligence/2020/06/10/the-army-ai-task-force-takes-on-two-key-projects/|Farrell, Theo, Sten Rynning, and Terry Terriff, Transforming Military Power since the Cold War: Britain, France, and the United States, 1991–2012 (Cambridge, UK: Cambridge UP 2013). |Feickert, Andrew and Brendan W. McGarry, ‘The Army’s Modernization Strategy: Congressional Oversight Considerations’, Congressional Research Service, 7 Feb. 2020, https://www.everycrsreport.com/files/20200207_R46216_444d93a212c95fd2fba1a596d520ca263a833307.pdf|Feickert, Andrew, ‘The Army’s Future Combat System (FCS): Background and Issues for Congress’, Congressional Research Services, 5 May 2006, https://www.everycrsreport.com/files/20060505_RL32888_bd0c5e4691669243ba6aacea43a6ce91c182246e.pdf|Fiott, Daniel, ‘A Revolution Too Far? US Defence Innovation, Europe and NATO’s Military-Technological Gap’, Journal of Strategic Studies 40/3 (2017), 417–37. DOI:10.1080/01402390.2016.1176565 |Gansler, Jacques, Democracy’s Arsenal: Creating a Twenty-First Century Defense Industry (Cambridge, MA: MIT UP 2011). |Geurts, James F., ‘The Department of the Navy Fiscal Year 2020 Budget Request for Science and Technology Programs’, House Armed Services Committee, 28 Mar. 2019. https://armedservices.house.gov/_cache/files/c/4/c46d8d7f-cade-4487-bae0-f87943aa205e/5AD8EA25BA971C25EF67C083034A43F2.hhrg-116-as26-wstate-geurtsj-20190328.pdf|Gilli, Andrea and Mauro Gilli, ‘Why China Has Not Caught Up Yet: Military-Technological Superiority and the Limits of Imitation, Reverse Engineering, and Cyber Espionage’, International Security 43/3 ( Winter 2018/19), 141–89. DOI:10.1162/isec_a_00337 |Glavy, Matthew G. and Brett Goldstein, ‘The Battle for Mon Cala: Getting the Military to Deliver Its Own Tech Solutions’, War On The Rocks, 20 Aug. 2020, https://warontherocks.com/2020/08/the-battle-for-mon-cala-getting-the-military-to-deliver-its-own-tech-solutions/|Griffin, Stuart, ‘Military Innovation Studies: Multidisciplinary or Lacking Discipline?’, Journal of Strategic Studies 40/1/2 (2016), 196–224. DOI:10.1080/01402390.2016.1196358 |Grissom, Andrew, ‘The Future of Military Innovation Studies’, Journal of Strategic Studies 29/5 (Oct. 2006), 905–34. DOI:10.1080/01402390600901067. |Haduch, Thomas W., ‘Maintaining the US Army Research, Development and Engineering Command Prototype Integration Facilities’, Defense Acquisition University Press. May 2014, https://www.dau.edu/training/career-development/sscf/Documents/T.%20HaduchSSCF2014SRPOPSECFINAL.pdf|Harper, Jon, ‘Army to Release New Wish List for Optionally Manned Fighting Vehicle’, National Defense Magazine, 19 Feb. 2020, https://www.nationaldefensemagazine.org/articles/2020/2/19/army-to-release-new-wish-list-for-optionally-manned-fighting-vehicle|Horowitz, Michael C., The Diffusion of Military Power: Causes and Consequences for International Politics (Princeton, NJ: Princeton UP 2010). |</v>
      </c>
    </row>
    <row r="37" customFormat="false" ht="191.75" hidden="false" customHeight="false" outlineLevel="0" collapsed="false">
      <c r="A37" s="4" t="s">
        <v>89</v>
      </c>
      <c r="B37" s="3" t="s">
        <v>90</v>
      </c>
      <c r="C37" s="0" t="str">
        <f aca="false">B37&amp;"|"</f>
        <v>Horowitz, Michael, ‘Artificial Intelligence, International Competition, and the Balance of Power’, Texas National Security Review 1/3 (May 2018), 36–57. https://tnsr.org/2018/05/artificial-intelligence-international-competition-and-the-balance-of-power/|</v>
      </c>
      <c r="D37" s="0" t="str">
        <f aca="false">D36&amp;C37</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|Cote, Owen Reid, Jr., ‘The Politics of Innovative Military Doctrine: The US Navy and Fleet Ballistic Missiles’, Doctoral dissertation, Massachusetts Institute of Technology, Feb. 1996. (Open in a new window)Google Scholar|Cronin, Audrey Kurth, Power to the People: How Open Technological Innovation Is Arming Tomorrow’s Terrorists (Oxford: Oxford UP 2020). (Open in a new window)Google Scholar|Department of the Navy, ‘Unmanned Campaign Network’, 16 Mar. 2021, https://www.navy.mil/Portals/1/Strategic/20210315%20Unmanned%20Campaign_Final_LowRes.pdf?ver=LtCZ-BPlWki6vCBTdgtDMA%3D%3D|DiNapoli, Timothy J., ‘DOD’s Use of Other Transactions for Prototype Projects Has Increased’, Government Accountability Office GAO-20–84, Nov. 2019, https://www.gao.gov/assets/710/702861.pdf|Dunn, Richard L., ‘Other Transactions Contracts: Poorly Understood, Little Used’, National Defense Magazine, 15 May 2017, https://www.nationaldefensemagazine.org/articles/2017/5/15/other-transactions-contracts-poorly-understood-little-used|Easley, Matthew P., ‘Army Artificial Intelligence Task Force (AI-TF)’, US Army Futures Command (2019). https://www.clsac.org/uploads/5/0/6/3/50633811/2019-easley-aiml.pdf|Eckhardt, Jonathan T., Michael P. Ciuchta, and Mason Carpenter, ‘Open Innovation, Information, and Entrepreneurship within Platform Ecosystems’, Strategic Entrepreneurship Journal 12 (2018), 369–91. DOI:10.1002/sej.1298 |Eckstein, Megan, ‘Marine Corps Information Community Growing in Capability, Trying to Find Its Place in Joint Operations’, USNI News, 7 Jan. 2020, https://news.usni.org/2020/01/07/marine-corps-information-community-growing-in-capability-trying-to-find-its-place-in-joint-operations|Eversden, Andrew, ‘The Army AI Task Force Takes on Two ‘Key’ Projects’, C4ISRnet, 10 Jun. 2020, https://www.c4isrnet.com/artificial-intelligence/2020/06/10/the-army-ai-task-force-takes-on-two-key-projects/|Farrell, Theo, Sten Rynning, and Terry Terriff, Transforming Military Power since the Cold War: Britain, France, and the United States, 1991–2012 (Cambridge, UK: Cambridge UP 2013). |Feickert, Andrew and Brendan W. McGarry, ‘The Army’s Modernization Strategy: Congressional Oversight Considerations’, Congressional Research Service, 7 Feb. 2020, https://www.everycrsreport.com/files/20200207_R46216_444d93a212c95fd2fba1a596d520ca263a833307.pdf|Feickert, Andrew, ‘The Army’s Future Combat System (FCS): Background and Issues for Congress’, Congressional Research Services, 5 May 2006, https://www.everycrsreport.com/files/20060505_RL32888_bd0c5e4691669243ba6aacea43a6ce91c182246e.pdf|Fiott, Daniel, ‘A Revolution Too Far? US Defence Innovation, Europe and NATO’s Military-Technological Gap’, Journal of Strategic Studies 40/3 (2017), 417–37. DOI:10.1080/01402390.2016.1176565 |Gansler, Jacques, Democracy’s Arsenal: Creating a Twenty-First Century Defense Industry (Cambridge, MA: MIT UP 2011). |Geurts, James F., ‘The Department of the Navy Fiscal Year 2020 Budget Request for Science and Technology Programs’, House Armed Services Committee, 28 Mar. 2019. https://armedservices.house.gov/_cache/files/c/4/c46d8d7f-cade-4487-bae0-f87943aa205e/5AD8EA25BA971C25EF67C083034A43F2.hhrg-116-as26-wstate-geurtsj-20190328.pdf|Gilli, Andrea and Mauro Gilli, ‘Why China Has Not Caught Up Yet: Military-Technological Superiority and the Limits of Imitation, Reverse Engineering, and Cyber Espionage’, International Security 43/3 ( Winter 2018/19), 141–89. DOI:10.1162/isec_a_00337 |Glavy, Matthew G. and Brett Goldstein, ‘The Battle for Mon Cala: Getting the Military to Deliver Its Own Tech Solutions’, War On The Rocks, 20 Aug. 2020, https://warontherocks.com/2020/08/the-battle-for-mon-cala-getting-the-military-to-deliver-its-own-tech-solutions/|Griffin, Stuart, ‘Military Innovation Studies: Multidisciplinary or Lacking Discipline?’, Journal of Strategic Studies 40/1/2 (2016), 196–224. DOI:10.1080/01402390.2016.1196358 |Grissom, Andrew, ‘The Future of Military Innovation Studies’, Journal of Strategic Studies 29/5 (Oct. 2006), 905–34. DOI:10.1080/01402390600901067. |Haduch, Thomas W., ‘Maintaining the US Army Research, Development and Engineering Command Prototype Integration Facilities’, Defense Acquisition University Press. May 2014, https://www.dau.edu/training/career-development/sscf/Documents/T.%20HaduchSSCF2014SRPOPSECFINAL.pdf|Harper, Jon, ‘Army to Release New Wish List for Optionally Manned Fighting Vehicle’, National Defense Magazine, 19 Feb. 2020, https://www.nationaldefensemagazine.org/articles/2020/2/19/army-to-release-new-wish-list-for-optionally-manned-fighting-vehicle|Horowitz, Michael C., The Diffusion of Military Power: Causes and Consequences for International Politics (Princeton, NJ: Princeton UP 2010). |Horowitz, Michael, ‘Artificial Intelligence, International Competition, and the Balance of Power’, Texas National Security Review 1/3 (May 2018), 36–57. https://tnsr.org/2018/05/artificial-intelligence-international-competition-and-the-balance-of-power/|</v>
      </c>
    </row>
    <row r="38" customFormat="false" ht="180.55" hidden="false" customHeight="false" outlineLevel="0" collapsed="false">
      <c r="A38" s="4" t="s">
        <v>91</v>
      </c>
      <c r="B38" s="3" t="s">
        <v>92</v>
      </c>
      <c r="C38" s="0" t="str">
        <f aca="false">B38&amp;"|"</f>
        <v>Kaeser, Hans Ulrich, ‘The Future Combat System: What Future Can The Army Afford?’, Center for Strategic and International Studies, 5 Feb. 2009. Working draft, https://csis-website-prod.s3.amazonaws.com/s3fs-public/legacy_files/files/media/csis/pubs/090205_fcsarmy.pdf|</v>
      </c>
      <c r="D38" s="0" t="str">
        <f aca="false">D37&amp;C38</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|Cote, Owen Reid, Jr., ‘The Politics of Innovative Military Doctrine: The US Navy and Fleet Ballistic Missiles’, Doctoral dissertation, Massachusetts Institute of Technology, Feb. 1996. (Open in a new window)Google Scholar|Cronin, Audrey Kurth, Power to the People: How Open Technological Innovation Is Arming Tomorrow’s Terrorists (Oxford: Oxford UP 2020). (Open in a new window)Google Scholar|Department of the Navy, ‘Unmanned Campaign Network’, 16 Mar. 2021, https://www.navy.mil/Portals/1/Strategic/20210315%20Unmanned%20Campaign_Final_LowRes.pdf?ver=LtCZ-BPlWki6vCBTdgtDMA%3D%3D|DiNapoli, Timothy J., ‘DOD’s Use of Other Transactions for Prototype Projects Has Increased’, Government Accountability Office GAO-20–84, Nov. 2019, https://www.gao.gov/assets/710/702861.pdf|Dunn, Richard L., ‘Other Transactions Contracts: Poorly Understood, Little Used’, National Defense Magazine, 15 May 2017, https://www.nationaldefensemagazine.org/articles/2017/5/15/other-transactions-contracts-poorly-understood-little-used|Easley, Matthew P., ‘Army Artificial Intelligence Task Force (AI-TF)’, US Army Futures Command (2019). https://www.clsac.org/uploads/5/0/6/3/50633811/2019-easley-aiml.pdf|Eckhardt, Jonathan T., Michael P. Ciuchta, and Mason Carpenter, ‘Open Innovation, Information, and Entrepreneurship within Platform Ecosystems’, Strategic Entrepreneurship Journal 12 (2018), 369–91. DOI:10.1002/sej.1298 |Eckstein, Megan, ‘Marine Corps Information Community Growing in Capability, Trying to Find Its Place in Joint Operations’, USNI News, 7 Jan. 2020, https://news.usni.org/2020/01/07/marine-corps-information-community-growing-in-capability-trying-to-find-its-place-in-joint-operations|Eversden, Andrew, ‘The Army AI Task Force Takes on Two ‘Key’ Projects’, C4ISRnet, 10 Jun. 2020, https://www.c4isrnet.com/artificial-intelligence/2020/06/10/the-army-ai-task-force-takes-on-two-key-projects/|Farrell, Theo, Sten Rynning, and Terry Terriff, Transforming Military Power since the Cold War: Britain, France, and the United States, 1991–2012 (Cambridge, UK: Cambridge UP 2013). |Feickert, Andrew and Brendan W. McGarry, ‘The Army’s Modernization Strategy: Congressional Oversight Considerations’, Congressional Research Service, 7 Feb. 2020, https://www.everycrsreport.com/files/20200207_R46216_444d93a212c95fd2fba1a596d520ca263a833307.pdf|Feickert, Andrew, ‘The Army’s Future Combat System (FCS): Background and Issues for Congress’, Congressional Research Services, 5 May 2006, https://www.everycrsreport.com/files/20060505_RL32888_bd0c5e4691669243ba6aacea43a6ce91c182246e.pdf|Fiott, Daniel, ‘A Revolution Too Far? US Defence Innovation, Europe and NATO’s Military-Technological Gap’, Journal of Strategic Studies 40/3 (2017), 417–37. DOI:10.1080/01402390.2016.1176565 |Gansler, Jacques, Democracy’s Arsenal: Creating a Twenty-First Century Defense Industry (Cambridge, MA: MIT UP 2011). |Geurts, James F., ‘The Department of the Navy Fiscal Year 2020 Budget Request for Science and Technology Programs’, House Armed Services Committee, 28 Mar. 2019. https://armedservices.house.gov/_cache/files/c/4/c46d8d7f-cade-4487-bae0-f87943aa205e/5AD8EA25BA971C25EF67C083034A43F2.hhrg-116-as26-wstate-geurtsj-20190328.pdf|Gilli, Andrea and Mauro Gilli, ‘Why China Has Not Caught Up Yet: Military-Technological Superiority and the Limits of Imitation, Reverse Engineering, and Cyber Espionage’, International Security 43/3 ( Winter 2018/19), 141–89. DOI:10.1162/isec_a_00337 |Glavy, Matthew G. and Brett Goldstein, ‘The Battle for Mon Cala: Getting the Military to Deliver Its Own Tech Solutions’, War On The Rocks, 20 Aug. 2020, https://warontherocks.com/2020/08/the-battle-for-mon-cala-getting-the-military-to-deliver-its-own-tech-solutions/|Griffin, Stuart, ‘Military Innovation Studies: Multidisciplinary or Lacking Discipline?’, Journal of Strategic Studies 40/1/2 (2016), 196–224. DOI:10.1080/01402390.2016.1196358 |Grissom, Andrew, ‘The Future of Military Innovation Studies’, Journal of Strategic Studies 29/5 (Oct. 2006), 905–34. DOI:10.1080/01402390600901067. |Haduch, Thomas W., ‘Maintaining the US Army Research, Development and Engineering Command Prototype Integration Facilities’, Defense Acquisition University Press. May 2014, https://www.dau.edu/training/career-development/sscf/Documents/T.%20HaduchSSCF2014SRPOPSECFINAL.pdf|Harper, Jon, ‘Army to Release New Wish List for Optionally Manned Fighting Vehicle’, National Defense Magazine, 19 Feb. 2020, https://www.nationaldefensemagazine.org/articles/2020/2/19/army-to-release-new-wish-list-for-optionally-manned-fighting-vehicle|Horowitz, Michael C., The Diffusion of Military Power: Causes and Consequences for International Politics (Princeton, NJ: Princeton UP 2010). |Horowitz, Michael, ‘Artificial Intelligence, International Competition, and the Balance of Power’, Texas National Security Review 1/3 (May 2018), 36–57. https://tnsr.org/2018/05/artificial-intelligence-international-competition-and-the-balance-of-power/|Kaeser, Hans Ulrich, ‘The Future Combat System: What Future Can The Army Afford?’, Center for Strategic and International Studies, 5 Feb. 2009. Working draft, https://csis-website-prod.s3.amazonaws.com/s3fs-public/legacy_files/files/media/csis/pubs/090205_fcsarmy.pdf|</v>
      </c>
    </row>
    <row r="39" customFormat="false" ht="158.2" hidden="false" customHeight="false" outlineLevel="0" collapsed="false">
      <c r="A39" s="4" t="s">
        <v>93</v>
      </c>
      <c r="B39" s="3" t="s">
        <v>94</v>
      </c>
      <c r="C39" s="0" t="str">
        <f aca="false">B39&amp;"|"</f>
        <v>Kenyon, Henry, ‘Rapid App Response: Marines to Embed Development Teams with Deployed Units’, GCN, 6 Feb. 2012, https://gcn.com/articles/2012/02/06/marine-corps-apps-embedded-development-teams.aspx|</v>
      </c>
      <c r="D39" s="0" t="str">
        <f aca="false">D38&amp;C39</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|Cote, Owen Reid, Jr., ‘The Politics of Innovative Military Doctrine: The US Navy and Fleet Ballistic Missiles’, Doctoral dissertation, Massachusetts Institute of Technology, Feb. 1996. (Open in a new window)Google Scholar|Cronin, Audrey Kurth, Power to the People: How Open Technological Innovation Is Arming Tomorrow’s Terrorists (Oxford: Oxford UP 2020). (Open in a new window)Google Scholar|Department of the Navy, ‘Unmanned Campaign Network’, 16 Mar. 2021, https://www.navy.mil/Portals/1/Strategic/20210315%20Unmanned%20Campaign_Final_LowRes.pdf?ver=LtCZ-BPlWki6vCBTdgtDMA%3D%3D|DiNapoli, Timothy J., ‘DOD’s Use of Other Transactions for Prototype Projects Has Increased’, Government Accountability Office GAO-20–84, Nov. 2019, https://www.gao.gov/assets/710/702861.pdf|Dunn, Richard L., ‘Other Transactions Contracts: Poorly Understood, Little Used’, National Defense Magazine, 15 May 2017, https://www.nationaldefensemagazine.org/articles/2017/5/15/other-transactions-contracts-poorly-understood-little-used|Easley, Matthew P., ‘Army Artificial Intelligence Task Force (AI-TF)’, US Army Futures Command (2019). https://www.clsac.org/uploads/5/0/6/3/50633811/2019-easley-aiml.pdf|Eckhardt, Jonathan T., Michael P. Ciuchta, and Mason Carpenter, ‘Open Innovation, Information, and Entrepreneurship within Platform Ecosystems’, Strategic Entrepreneurship Journal 12 (2018), 369–91. DOI:10.1002/sej.1298 |Eckstein, Megan, ‘Marine Corps Information Community Growing in Capability, Trying to Find Its Place in Joint Operations’, USNI News, 7 Jan. 2020, https://news.usni.org/2020/01/07/marine-corps-information-community-growing-in-capability-trying-to-find-its-place-in-joint-operations|Eversden, Andrew, ‘The Army AI Task Force Takes on Two ‘Key’ Projects’, C4ISRnet, 10 Jun. 2020, https://www.c4isrnet.com/artificial-intelligence/2020/06/10/the-army-ai-task-force-takes-on-two-key-projects/|Farrell, Theo, Sten Rynning, and Terry Terriff, Transforming Military Power since the Cold War: Britain, France, and the United States, 1991–2012 (Cambridge, UK: Cambridge UP 2013). |Feickert, Andrew and Brendan W. McGarry, ‘The Army’s Modernization Strategy: Congressional Oversight Considerations’, Congressional Research Service, 7 Feb. 2020, https://www.everycrsreport.com/files/20200207_R46216_444d93a212c95fd2fba1a596d520ca263a833307.pdf|Feickert, Andrew, ‘The Army’s Future Combat System (FCS): Background and Issues for Congress’, Congressional Research Services, 5 May 2006, https://www.everycrsreport.com/files/20060505_RL32888_bd0c5e4691669243ba6aacea43a6ce91c182246e.pdf|Fiott, Daniel, ‘A Revolution Too Far? US Defence Innovation, Europe and NATO’s Military-Technological Gap’, Journal of Strategic Studies 40/3 (2017), 417–37. DOI:10.1080/01402390.2016.1176565 |Gansler, Jacques, Democracy’s Arsenal: Creating a Twenty-First Century Defense Industry (Cambridge, MA: MIT UP 2011). |Geurts, James F., ‘The Department of the Navy Fiscal Year 2020 Budget Request for Science and Technology Programs’, House Armed Services Committee, 28 Mar. 2019. https://armedservices.house.gov/_cache/files/c/4/c46d8d7f-cade-4487-bae0-f87943aa205e/5AD8EA25BA971C25EF67C083034A43F2.hhrg-116-as26-wstate-geurtsj-20190328.pdf|Gilli, Andrea and Mauro Gilli, ‘Why China Has Not Caught Up Yet: Military-Technological Superiority and the Limits of Imitation, Reverse Engineering, and Cyber Espionage’, International Security 43/3 ( Winter 2018/19), 141–89. DOI:10.1162/isec_a_00337 |Glavy, Matthew G. and Brett Goldstein, ‘The Battle for Mon Cala: Getting the Military to Deliver Its Own Tech Solutions’, War On The Rocks, 20 Aug. 2020, https://warontherocks.com/2020/08/the-battle-for-mon-cala-getting-the-military-to-deliver-its-own-tech-solutions/|Griffin, Stuart, ‘Military Innovation Studies: Multidisciplinary or Lacking Discipline?’, Journal of Strategic Studies 40/1/2 (2016), 196–224. DOI:10.1080/01402390.2016.1196358 |Grissom, Andrew, ‘The Future of Military Innovation Studies’, Journal of Strategic Studies 29/5 (Oct. 2006), 905–34. DOI:10.1080/01402390600901067. |Haduch, Thomas W., ‘Maintaining the US Army Research, Development and Engineering Command Prototype Integration Facilities’, Defense Acquisition University Press. May 2014, https://www.dau.edu/training/career-development/sscf/Documents/T.%20HaduchSSCF2014SRPOPSECFINAL.pdf|Harper, Jon, ‘Army to Release New Wish List for Optionally Manned Fighting Vehicle’, National Defense Magazine, 19 Feb. 2020, https://www.nationaldefensemagazine.org/articles/2020/2/19/army-to-release-new-wish-list-for-optionally-manned-fighting-vehicle|Horowitz, Michael C., The Diffusion of Military Power: Causes and Consequences for International Politics (Princeton, NJ: Princeton UP 2010). |Horowitz, Michael, ‘Artificial Intelligence, International Competition, and the Balance of Power’, Texas National Security Review 1/3 (May 2018), 36–57. https://tnsr.org/2018/05/artificial-intelligence-international-competition-and-the-balance-of-power/|Kaeser, Hans Ulrich, ‘The Future Combat System: What Future Can The Army Afford?’, Center for Strategic and International Studies, 5 Feb. 2009. Working draft, https://csis-website-prod.s3.amazonaws.com/s3fs-public/legacy_files/files/media/csis/pubs/090205_fcsarmy.pdf|Kenyon, Henry, ‘Rapid App Response: Marines to Embed Development Teams with Deployed Units’, GCN, 6 Feb. 2012, https://gcn.com/articles/2012/02/06/marine-corps-apps-embedded-development-teams.aspx|</v>
      </c>
    </row>
    <row r="40" customFormat="false" ht="135.8" hidden="false" customHeight="false" outlineLevel="0" collapsed="false">
      <c r="A40" s="4" t="s">
        <v>95</v>
      </c>
      <c r="B40" s="3" t="s">
        <v>96</v>
      </c>
      <c r="C40" s="0" t="str">
        <f aca="false">B40&amp;"|"</f>
        <v>Kleinholz, Joshua, ‘AFwerX Vegas Opens New Doors to Innovation’, Air Combat Command, 23 Aug. 2017, https://www.acc.af.mil/News/Article-Display/Article/1288094/afwerx-vegas-opens-new-doors-to-innovation/|</v>
      </c>
      <c r="D40" s="0" t="str">
        <f aca="false">D39&amp;C40</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|Cote, Owen Reid, Jr., ‘The Politics of Innovative Military Doctrine: The US Navy and Fleet Ballistic Missiles’, Doctoral dissertation, Massachusetts Institute of Technology, Feb. 1996. (Open in a new window)Google Scholar|Cronin, Audrey Kurth, Power to the People: How Open Technological Innovation Is Arming Tomorrow’s Terrorists (Oxford: Oxford UP 2020). (Open in a new window)Google Scholar|Department of the Navy, ‘Unmanned Campaign Network’, 16 Mar. 2021, https://www.navy.mil/Portals/1/Strategic/20210315%20Unmanned%20Campaign_Final_LowRes.pdf?ver=LtCZ-BPlWki6vCBTdgtDMA%3D%3D|DiNapoli, Timothy J., ‘DOD’s Use of Other Transactions for Prototype Projects Has Increased’, Government Accountability Office GAO-20–84, Nov. 2019, https://www.gao.gov/assets/710/702861.pdf|Dunn, Richard L., ‘Other Transactions Contracts: Poorly Understood, Little Used’, National Defense Magazine, 15 May 2017, https://www.nationaldefensemagazine.org/articles/2017/5/15/other-transactions-contracts-poorly-understood-little-used|Easley, Matthew P., ‘Army Artificial Intelligence Task Force (AI-TF)’, US Army Futures Command (2019). https://www.clsac.org/uploads/5/0/6/3/50633811/2019-easley-aiml.pdf|Eckhardt, Jonathan T., Michael P. Ciuchta, and Mason Carpenter, ‘Open Innovation, Information, and Entrepreneurship within Platform Ecosystems’, Strategic Entrepreneurship Journal 12 (2018), 369–91. DOI:10.1002/sej.1298 |Eckstein, Megan, ‘Marine Corps Information Community Growing in Capability, Trying to Find Its Place in Joint Operations’, USNI News, 7 Jan. 2020, https://news.usni.org/2020/01/07/marine-corps-information-community-growing-in-capability-trying-to-find-its-place-in-joint-operations|Eversden, Andrew, ‘The Army AI Task Force Takes on Two ‘Key’ Projects’, C4ISRnet, 10 Jun. 2020, https://www.c4isrnet.com/artificial-intelligence/2020/06/10/the-army-ai-task-force-takes-on-two-key-projects/|Farrell, Theo, Sten Rynning, and Terry Terriff, Transforming Military Power since the Cold War: Britain, France, and the United States, 1991–2012 (Cambridge, UK: Cambridge UP 2013). |Feickert, Andrew and Brendan W. McGarry, ‘The Army’s Modernization Strategy: Congressional Oversight Considerations’, Congressional Research Service, 7 Feb. 2020, https://www.everycrsreport.com/files/20200207_R46216_444d93a212c95fd2fba1a596d520ca263a833307.pdf|Feickert, Andrew, ‘The Army’s Future Combat System (FCS): Background and Issues for Congress’, Congressional Research Services, 5 May 2006, https://www.everycrsreport.com/files/20060505_RL32888_bd0c5e4691669243ba6aacea43a6ce91c182246e.pdf|Fiott, Daniel, ‘A Revolution Too Far? US Defence Innovation, Europe and NATO’s Military-Technological Gap’, Journal of Strategic Studies 40/3 (2017), 417–37. DOI:10.1080/01402390.2016.1176565 |Gansler, Jacques, Democracy’s Arsenal: Creating a Twenty-First Century Defense Industry (Cambridge, MA: MIT UP 2011). |Geurts, James F., ‘The Department of the Navy Fiscal Year 2020 Budget Request for Science and Technology Programs’, House Armed Services Committee, 28 Mar. 2019. https://armedservices.house.gov/_cache/files/c/4/c46d8d7f-cade-4487-bae0-f87943aa205e/5AD8EA25BA971C25EF67C083034A43F2.hhrg-116-as26-wstate-geurtsj-20190328.pdf|Gilli, Andrea and Mauro Gilli, ‘Why China Has Not Caught Up Yet: Military-Technological Superiority and the Limits of Imitation, Reverse Engineering, and Cyber Espionage’, International Security 43/3 ( Winter 2018/19), 141–89. DOI:10.1162/isec_a_00337 |Glavy, Matthew G. and Brett Goldstein, ‘The Battle for Mon Cala: Getting the Military to Deliver Its Own Tech Solutions’, War On The Rocks, 20 Aug. 2020, https://warontherocks.com/2020/08/the-battle-for-mon-cala-getting-the-military-to-deliver-its-own-tech-solutions/|Griffin, Stuart, ‘Military Innovation Studies: Multidisciplinary or Lacking Discipline?’, Journal of Strategic Studies 40/1/2 (2016), 196–224. DOI:10.1080/01402390.2016.1196358 |Grissom, Andrew, ‘The Future of Military Innovation Studies’, Journal of Strategic Studies 29/5 (Oct. 2006), 905–34. DOI:10.1080/01402390600901067. |Haduch, Thomas W., ‘Maintaining the US Army Research, Development and Engineering Command Prototype Integration Facilities’, Defense Acquisition University Press. May 2014, https://www.dau.edu/training/career-development/sscf/Documents/T.%20HaduchSSCF2014SRPOPSECFINAL.pdf|Harper, Jon, ‘Army to Release New Wish List for Optionally Manned Fighting Vehicle’, National Defense Magazine, 19 Feb. 2020, https://www.nationaldefensemagazine.org/articles/2020/2/19/army-to-release-new-wish-list-for-optionally-manned-fighting-vehicle|Horowitz, Michael C., The Diffusion of Military Power: Causes and Consequences for International Politics (Princeton, NJ: Princeton UP 2010). |Horowitz, Michael, ‘Artificial Intelligence, International Competition, and the Balance of Power’, Texas National Security Review 1/3 (May 2018), 36–57. https://tnsr.org/2018/05/artificial-intelligence-international-competition-and-the-balance-of-power/|Kaeser, Hans Ulrich, ‘The Future Combat System: What Future Can The Army Afford?’, Center for Strategic and International Studies, 5 Feb. 2009. Working draft, https://csis-website-prod.s3.amazonaws.com/s3fs-public/legacy_files/files/media/csis/pubs/090205_fcsarmy.pdf|Kenyon, Henry, ‘Rapid App Response: Marines to Embed Development Teams with Deployed Units’, GCN, 6 Feb. 2012, https://gcn.com/articles/2012/02/06/marine-corps-apps-embedded-development-teams.aspx|Kleinholz, Joshua, ‘AFwerX Vegas Opens New Doors to Innovation’, Air Combat Command, 23 Aug. 2017, https://www.acc.af.mil/News/Article-Display/Article/1288094/afwerx-vegas-opens-new-doors-to-innovation/|</v>
      </c>
    </row>
    <row r="41" customFormat="false" ht="169.4" hidden="false" customHeight="false" outlineLevel="0" collapsed="false">
      <c r="A41" s="4" t="s">
        <v>97</v>
      </c>
      <c r="B41" s="3" t="s">
        <v>97</v>
      </c>
      <c r="C41" s="0" t="str">
        <f aca="false">B41&amp;"|"</f>
        <v>Kollars, Nina A., ‘War’s Horizon: Soldier-Led Adaptation in Iraq and Vietnam’, Journal of Strategic Studies 38/4 (2015), 529–53. DOI:10.1080/01402390.2014.971947 |</v>
      </c>
      <c r="D41" s="0" t="str">
        <f aca="false">D40&amp;C41</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|Cote, Owen Reid, Jr., ‘The Politics of Innovative Military Doctrine: The US Navy and Fleet Ballistic Missiles’, Doctoral dissertation, Massachusetts Institute of Technology, Feb. 1996. (Open in a new window)Google Scholar|Cronin, Audrey Kurth, Power to the People: How Open Technological Innovation Is Arming Tomorrow’s Terrorists (Oxford: Oxford UP 2020). (Open in a new window)Google Scholar|Department of the Navy, ‘Unmanned Campaign Network’, 16 Mar. 2021, https://www.navy.mil/Portals/1/Strategic/20210315%20Unmanned%20Campaign_Final_LowRes.pdf?ver=LtCZ-BPlWki6vCBTdgtDMA%3D%3D|DiNapoli, Timothy J., ‘DOD’s Use of Other Transactions for Prototype Projects Has Increased’, Government Accountability Office GAO-20–84, Nov. 2019, https://www.gao.gov/assets/710/702861.pdf|Dunn, Richard L., ‘Other Transactions Contracts: Poorly Understood, Little Used’, National Defense Magazine, 15 May 2017, https://www.nationaldefensemagazine.org/articles/2017/5/15/other-transactions-contracts-poorly-understood-little-used|Easley, Matthew P., ‘Army Artificial Intelligence Task Force (AI-TF)’, US Army Futures Command (2019). https://www.clsac.org/uploads/5/0/6/3/50633811/2019-easley-aiml.pdf|Eckhardt, Jonathan T., Michael P. Ciuchta, and Mason Carpenter, ‘Open Innovation, Information, and Entrepreneurship within Platform Ecosystems’, Strategic Entrepreneurship Journal 12 (2018), 369–91. DOI:10.1002/sej.1298 |Eckstein, Megan, ‘Marine Corps Information Community Growing in Capability, Trying to Find Its Place in Joint Operations’, USNI News, 7 Jan. 2020, https://news.usni.org/2020/01/07/marine-corps-information-community-growing-in-capability-trying-to-find-its-place-in-joint-operations|Eversden, Andrew, ‘The Army AI Task Force Takes on Two ‘Key’ Projects’, C4ISRnet, 10 Jun. 2020, https://www.c4isrnet.com/artificial-intelligence/2020/06/10/the-army-ai-task-force-takes-on-two-key-projects/|Farrell, Theo, Sten Rynning, and Terry Terriff, Transforming Military Power since the Cold War: Britain, France, and the United States, 1991–2012 (Cambridge, UK: Cambridge UP 2013). |Feickert, Andrew and Brendan W. McGarry, ‘The Army’s Modernization Strategy: Congressional Oversight Considerations’, Congressional Research Service, 7 Feb. 2020, https://www.everycrsreport.com/files/20200207_R46216_444d93a212c95fd2fba1a596d520ca263a833307.pdf|Feickert, Andrew, ‘The Army’s Future Combat System (FCS): Background and Issues for Congress’, Congressional Research Services, 5 May 2006, https://www.everycrsreport.com/files/20060505_RL32888_bd0c5e4691669243ba6aacea43a6ce91c182246e.pdf|Fiott, Daniel, ‘A Revolution Too Far? US Defence Innovation, Europe and NATO’s Military-Technological Gap’, Journal of Strategic Studies 40/3 (2017), 417–37. DOI:10.1080/01402390.2016.1176565 |Gansler, Jacques, Democracy’s Arsenal: Creating a Twenty-First Century Defense Industry (Cambridge, MA: MIT UP 2011). |Geurts, James F., ‘The Department of the Navy Fiscal Year 2020 Budget Request for Science and Technology Programs’, House Armed Services Committee, 28 Mar. 2019. https://armedservices.house.gov/_cache/files/c/4/c46d8d7f-cade-4487-bae0-f87943aa205e/5AD8EA25BA971C25EF67C083034A43F2.hhrg-116-as26-wstate-geurtsj-20190328.pdf|Gilli, Andrea and Mauro Gilli, ‘Why China Has Not Caught Up Yet: Military-Technological Superiority and the Limits of Imitation, Reverse Engineering, and Cyber Espionage’, International Security 43/3 ( Winter 2018/19), 141–89. DOI:10.1162/isec_a_00337 |Glavy, Matthew G. and Brett Goldstein, ‘The Battle for Mon Cala: Getting the Military to Deliver Its Own Tech Solutions’, War On The Rocks, 20 Aug. 2020, https://warontherocks.com/2020/08/the-battle-for-mon-cala-getting-the-military-to-deliver-its-own-tech-solutions/|Griffin, Stuart, ‘Military Innovation Studies: Multidisciplinary or Lacking Discipline?’, Journal of Strategic Studies 40/1/2 (2016), 196–224. DOI:10.1080/01402390.2016.1196358 |Grissom, Andrew, ‘The Future of Military Innovation Studies’, Journal of Strategic Studies 29/5 (Oct. 2006), 905–34. DOI:10.1080/01402390600901067. |Haduch, Thomas W., ‘Maintaining the US Army Research, Development and Engineering Command Prototype Integration Facilities’, Defense Acquisition University Press. May 2014, https://www.dau.edu/training/career-development/sscf/Documents/T.%20HaduchSSCF2014SRPOPSECFINAL.pdf|Harper, Jon, ‘Army to Release New Wish List for Optionally Manned Fighting Vehicle’, National Defense Magazine, 19 Feb. 2020, https://www.nationaldefensemagazine.org/articles/2020/2/19/army-to-release-new-wish-list-for-optionally-manned-fighting-vehicle|Horowitz, Michael C., The Diffusion of Military Power: Causes and Consequences for International Politics (Princeton, NJ: Princeton UP 2010). |Horowitz, Michael, ‘Artificial Intelligence, International Competition, and the Balance of Power’, Texas National Security Review 1/3 (May 2018), 36–57. https://tnsr.org/2018/05/artificial-intelligence-international-competition-and-the-balance-of-power/|Kaeser, Hans Ulrich, ‘The Future Combat System: What Future Can The Army Afford?’, Center for Strategic and International Studies, 5 Feb. 2009. Working draft, https://csis-website-prod.s3.amazonaws.com/s3fs-public/legacy_files/files/media/csis/pubs/090205_fcsarmy.pdf|Kenyon, Henry, ‘Rapid App Response: Marines to Embed Development Teams with Deployed Units’, GCN, 6 Feb. 2012, https://gcn.com/articles/2012/02/06/marine-corps-apps-embedded-development-teams.aspx|Kleinholz, Joshua, ‘AFwerX Vegas Opens New Doors to Innovation’, Air Combat Command, 23 Aug. 2017, https://www.acc.af.mil/News/Article-Display/Article/1288094/afwerx-vegas-opens-new-doors-to-innovation/|Kollars, Nina A., ‘War’s Horizon: Soldier-Led Adaptation in Iraq and Vietnam’, Journal of Strategic Studies 38/4 (2015), 529–53. DOI:10.1080/01402390.2014.971947 |</v>
      </c>
    </row>
    <row r="42" customFormat="false" ht="147" hidden="false" customHeight="false" outlineLevel="0" collapsed="false">
      <c r="A42" s="4" t="s">
        <v>98</v>
      </c>
      <c r="B42" s="3" t="s">
        <v>99</v>
      </c>
      <c r="C42" s="0" t="str">
        <f aca="false">B42&amp;"|"</f>
        <v>Krazit, Tom, ‘How the US Air Force Deployed Kubernetes and Istio on an F-16 in 45 Days’, The New Stack, 24 Dec. 2019, https://thenewstack.io/how-the-u-s-air-force-deployed-kubernetes-and-istio-on-an-f-16-in-45-days/|</v>
      </c>
      <c r="D42" s="0" t="str">
        <f aca="false">D41&amp;C42</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|Cote, Owen Reid, Jr., ‘The Politics of Innovative Military Doctrine: The US Navy and Fleet Ballistic Missiles’, Doctoral dissertation, Massachusetts Institute of Technology, Feb. 1996. (Open in a new window)Google Scholar|Cronin, Audrey Kurth, Power to the People: How Open Technological Innovation Is Arming Tomorrow’s Terrorists (Oxford: Oxford UP 2020). (Open in a new window)Google Scholar|Department of the Navy, ‘Unmanned Campaign Network’, 16 Mar. 2021, https://www.navy.mil/Portals/1/Strategic/20210315%20Unmanned%20Campaign_Final_LowRes.pdf?ver=LtCZ-BPlWki6vCBTdgtDMA%3D%3D|DiNapoli, Timothy J., ‘DOD’s Use of Other Transactions for Prototype Projects Has Increased’, Government Accountability Office GAO-20–84, Nov. 2019, https://www.gao.gov/assets/710/702861.pdf|Dunn, Richard L., ‘Other Transactions Contracts: Poorly Understood, Little Used’, National Defense Magazine, 15 May 2017, https://www.nationaldefensemagazine.org/articles/2017/5/15/other-transactions-contracts-poorly-understood-little-used|Easley, Matthew P., ‘Army Artificial Intelligence Task Force (AI-TF)’, US Army Futures Command (2019). https://www.clsac.org/uploads/5/0/6/3/50633811/2019-easley-aiml.pdf|Eckhardt, Jonathan T., Michael P. Ciuchta, and Mason Carpenter, ‘Open Innovation, Information, and Entrepreneurship within Platform Ecosystems’, Strategic Entrepreneurship Journal 12 (2018), 369–91. DOI:10.1002/sej.1298 |Eckstein, Megan, ‘Marine Corps Information Community Growing in Capability, Trying to Find Its Place in Joint Operations’, USNI News, 7 Jan. 2020, https://news.usni.org/2020/01/07/marine-corps-information-community-growing-in-capability-trying-to-find-its-place-in-joint-operations|Eversden, Andrew, ‘The Army AI Task Force Takes on Two ‘Key’ Projects’, C4ISRnet, 10 Jun. 2020, https://www.c4isrnet.com/artificial-intelligence/2020/06/10/the-army-ai-task-force-takes-on-two-key-projects/|Farrell, Theo, Sten Rynning, and Terry Terriff, Transforming Military Power since the Cold War: Britain, France, and the United States, 1991–2012 (Cambridge, UK: Cambridge UP 2013). |Feickert, Andrew and Brendan W. McGarry, ‘The Army’s Modernization Strategy: Congressional Oversight Considerations’, Congressional Research Service, 7 Feb. 2020, https://www.everycrsreport.com/files/20200207_R46216_444d93a212c95fd2fba1a596d520ca263a833307.pdf|Feickert, Andrew, ‘The Army’s Future Combat System (FCS): Background and Issues for Congress’, Congressional Research Services, 5 May 2006, https://www.everycrsreport.com/files/20060505_RL32888_bd0c5e4691669243ba6aacea43a6ce91c182246e.pdf|Fiott, Daniel, ‘A Revolution Too Far? US Defence Innovation, Europe and NATO’s Military-Technological Gap’, Journal of Strategic Studies 40/3 (2017), 417–37. DOI:10.1080/01402390.2016.1176565 |Gansler, Jacques, Democracy’s Arsenal: Creating a Twenty-First Century Defense Industry (Cambridge, MA: MIT UP 2011). |Geurts, James F., ‘The Department of the Navy Fiscal Year 2020 Budget Request for Science and Technology Programs’, House Armed Services Committee, 28 Mar. 2019. https://armedservices.house.gov/_cache/files/c/4/c46d8d7f-cade-4487-bae0-f87943aa205e/5AD8EA25BA971C25EF67C083034A43F2.hhrg-116-as26-wstate-geurtsj-20190328.pdf|Gilli, Andrea and Mauro Gilli, ‘Why China Has Not Caught Up Yet: Military-Technological Superiority and the Limits of Imitation, Reverse Engineering, and Cyber Espionage’, International Security 43/3 ( Winter 2018/19), 141–89. DOI:10.1162/isec_a_00337 |Glavy, Matthew G. and Brett Goldstein, ‘The Battle for Mon Cala: Getting the Military to Deliver Its Own Tech Solutions’, War On The Rocks, 20 Aug. 2020, https://warontherocks.com/2020/08/the-battle-for-mon-cala-getting-the-military-to-deliver-its-own-tech-solutions/|Griffin, Stuart, ‘Military Innovation Studies: Multidisciplinary or Lacking Discipline?’, Journal of Strategic Studies 40/1/2 (2016), 196–224. DOI:10.1080/01402390.2016.1196358 |Grissom, Andrew, ‘The Future of Military Innovation Studies’, Journal of Strategic Studies 29/5 (Oct. 2006), 905–34. DOI:10.1080/01402390600901067. |Haduch, Thomas W., ‘Maintaining the US Army Research, Development and Engineering Command Prototype Integration Facilities’, Defense Acquisition University Press. May 2014, https://www.dau.edu/training/career-development/sscf/Documents/T.%20HaduchSSCF2014SRPOPSECFINAL.pdf|Harper, Jon, ‘Army to Release New Wish List for Optionally Manned Fighting Vehicle’, National Defense Magazine, 19 Feb. 2020, https://www.nationaldefensemagazine.org/articles/2020/2/19/army-to-release-new-wish-list-for-optionally-manned-fighting-vehicle|Horowitz, Michael C., The Diffusion of Military Power: Causes and Consequences for International Politics (Princeton, NJ: Princeton UP 2010). |Horowitz, Michael, ‘Artificial Intelligence, International Competition, and the Balance of Power’, Texas National Security Review 1/3 (May 2018), 36–57. https://tnsr.org/2018/05/artificial-intelligence-international-competition-and-the-balance-of-power/|Kaeser, Hans Ulrich, ‘The Future Combat System: What Future Can The Army Afford?’, Center for Strategic and International Studies, 5 Feb. 2009. Working draft, https://csis-website-prod.s3.amazonaws.com/s3fs-public/legacy_files/files/media/csis/pubs/090205_fcsarmy.pdf|Kenyon, Henry, ‘Rapid App Response: Marines to Embed Development Teams with Deployed Units’, GCN, 6 Feb. 2012, https://gcn.com/articles/2012/02/06/marine-corps-apps-embedded-development-teams.aspx|Kleinholz, Joshua, ‘AFwerX Vegas Opens New Doors to Innovation’, Air Combat Command, 23 Aug. 2017, https://www.acc.af.mil/News/Article-Display/Article/1288094/afwerx-vegas-opens-new-doors-to-innovation/|Kollars, Nina A., ‘War’s Horizon: Soldier-Led Adaptation in Iraq and Vietnam’, Journal of Strategic Studies 38/4 (2015), 529–53. DOI:10.1080/01402390.2014.971947 |Krazit, Tom, ‘How the US Air Force Deployed Kubernetes and Istio on an F-16 in 45 Days’, The New Stack, 24 Dec. 2019, https://thenewstack.io/how-the-u-s-air-force-deployed-kubernetes-and-istio-on-an-f-16-in-45-days/|</v>
      </c>
    </row>
    <row r="43" customFormat="false" ht="147" hidden="false" customHeight="false" outlineLevel="0" collapsed="false">
      <c r="A43" s="4" t="s">
        <v>100</v>
      </c>
      <c r="B43" s="3" t="s">
        <v>100</v>
      </c>
      <c r="C43" s="0" t="str">
        <f aca="false">B43&amp;"|"</f>
        <v>Lake, Daniel R., The Pursuit of Technological Superiority and the Shrinking American Military (New York, NY: Palgrave MacMillan 2019). |</v>
      </c>
      <c r="D43" s="0" t="str">
        <f aca="false">D42&amp;C43</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|Cote, Owen Reid, Jr., ‘The Politics of Innovative Military Doctrine: The US Navy and Fleet Ballistic Missiles’, Doctoral dissertation, Massachusetts Institute of Technology, Feb. 1996. (Open in a new window)Google Scholar|Cronin, Audrey Kurth, Power to the People: How Open Technological Innovation Is Arming Tomorrow’s Terrorists (Oxford: Oxford UP 2020). (Open in a new window)Google Scholar|Department of the Navy, ‘Unmanned Campaign Network’, 16 Mar. 2021, https://www.navy.mil/Portals/1/Strategic/20210315%20Unmanned%20Campaign_Final_LowRes.pdf?ver=LtCZ-BPlWki6vCBTdgtDMA%3D%3D|DiNapoli, Timothy J., ‘DOD’s Use of Other Transactions for Prototype Projects Has Increased’, Government Accountability Office GAO-20–84, Nov. 2019, https://www.gao.gov/assets/710/702861.pdf|Dunn, Richard L., ‘Other Transactions Contracts: Poorly Understood, Little Used’, National Defense Magazine, 15 May 2017, https://www.nationaldefensemagazine.org/articles/2017/5/15/other-transactions-contracts-poorly-understood-little-used|Easley, Matthew P., ‘Army Artificial Intelligence Task Force (AI-TF)’, US Army Futures Command (2019). https://www.clsac.org/uploads/5/0/6/3/50633811/2019-easley-aiml.pdf|Eckhardt, Jonathan T., Michael P. Ciuchta, and Mason Carpenter, ‘Open Innovation, Information, and Entrepreneurship within Platform Ecosystems’, Strategic Entrepreneurship Journal 12 (2018), 369–91. DOI:10.1002/sej.1298 |Eckstein, Megan, ‘Marine Corps Information Community Growing in Capability, Trying to Find Its Place in Joint Operations’, USNI News, 7 Jan. 2020, https://news.usni.org/2020/01/07/marine-corps-information-community-growing-in-capability-trying-to-find-its-place-in-joint-operations|Eversden, Andrew, ‘The Army AI Task Force Takes on Two ‘Key’ Projects’, C4ISRnet, 10 Jun. 2020, https://www.c4isrnet.com/artificial-intelligence/2020/06/10/the-army-ai-task-force-takes-on-two-key-projects/|Farrell, Theo, Sten Rynning, and Terry Terriff, Transforming Military Power since the Cold War: Britain, France, and the United States, 1991–2012 (Cambridge, UK: Cambridge UP 2013). |Feickert, Andrew and Brendan W. McGarry, ‘The Army’s Modernization Strategy: Congressional Oversight Considerations’, Congressional Research Service, 7 Feb. 2020, https://www.everycrsreport.com/files/20200207_R46216_444d93a212c95fd2fba1a596d520ca263a833307.pdf|Feickert, Andrew, ‘The Army’s Future Combat System (FCS): Background and Issues for Congress’, Congressional Research Services, 5 May 2006, https://www.everycrsreport.com/files/20060505_RL32888_bd0c5e4691669243ba6aacea43a6ce91c182246e.pdf|Fiott, Daniel, ‘A Revolution Too Far? US Defence Innovation, Europe and NATO’s Military-Technological Gap’, Journal of Strategic Studies 40/3 (2017), 417–37. DOI:10.1080/01402390.2016.1176565 |Gansler, Jacques, Democracy’s Arsenal: Creating a Twenty-First Century Defense Industry (Cambridge, MA: MIT UP 2011). |Geurts, James F., ‘The Department of the Navy Fiscal Year 2020 Budget Request for Science and Technology Programs’, House Armed Services Committee, 28 Mar. 2019. https://armedservices.house.gov/_cache/files/c/4/c46d8d7f-cade-4487-bae0-f87943aa205e/5AD8EA25BA971C25EF67C083034A43F2.hhrg-116-as26-wstate-geurtsj-20190328.pdf|Gilli, Andrea and Mauro Gilli, ‘Why China Has Not Caught Up Yet: Military-Technological Superiority and the Limits of Imitation, Reverse Engineering, and Cyber Espionage’, International Security 43/3 ( Winter 2018/19), 141–89. DOI:10.1162/isec_a_00337 |Glavy, Matthew G. and Brett Goldstein, ‘The Battle for Mon Cala: Getting the Military to Deliver Its Own Tech Solutions’, War On The Rocks, 20 Aug. 2020, https://warontherocks.com/2020/08/the-battle-for-mon-cala-getting-the-military-to-deliver-its-own-tech-solutions/|Griffin, Stuart, ‘Military Innovation Studies: Multidisciplinary or Lacking Discipline?’, Journal of Strategic Studies 40/1/2 (2016), 196–224. DOI:10.1080/01402390.2016.1196358 |Grissom, Andrew, ‘The Future of Military Innovation Studies’, Journal of Strategic Studies 29/5 (Oct. 2006), 905–34. DOI:10.1080/01402390600901067. |Haduch, Thomas W., ‘Maintaining the US Army Research, Development and Engineering Command Prototype Integration Facilities’, Defense Acquisition University Press. May 2014, https://www.dau.edu/training/career-development/sscf/Documents/T.%20HaduchSSCF2014SRPOPSECFINAL.pdf|Harper, Jon, ‘Army to Release New Wish List for Optionally Manned Fighting Vehicle’, National Defense Magazine, 19 Feb. 2020, https://www.nationaldefensemagazine.org/articles/2020/2/19/army-to-release-new-wish-list-for-optionally-manned-fighting-vehicle|Horowitz, Michael C., The Diffusion of Military Power: Causes and Consequences for International Politics (Princeton, NJ: Princeton UP 2010). |Horowitz, Michael, ‘Artificial Intelligence, International Competition, and the Balance of Power’, Texas National Security Review 1/3 (May 2018), 36–57. https://tnsr.org/2018/05/artificial-intelligence-international-competition-and-the-balance-of-power/|Kaeser, Hans Ulrich, ‘The Future Combat System: What Future Can The Army Afford?’, Center for Strategic and International Studies, 5 Feb. 2009. Working draft, https://csis-website-prod.s3.amazonaws.com/s3fs-public/legacy_files/files/media/csis/pubs/090205_fcsarmy.pdf|Kenyon, Henry, ‘Rapid App Response: Marines to Embed Development Teams with Deployed Units’, GCN, 6 Feb. 2012, https://gcn.com/articles/2012/02/06/marine-corps-apps-embedded-development-teams.aspx|Kleinholz, Joshua, ‘AFwerX Vegas Opens New Doors to Innovation’, Air Combat Command, 23 Aug. 2017, https://www.acc.af.mil/News/Article-Display/Article/1288094/afwerx-vegas-opens-new-doors-to-innovation/|Kollars, Nina A., ‘War’s Horizon: Soldier-Led Adaptation in Iraq and Vietnam’, Journal of Strategic Studies 38/4 (2015), 529–53. DOI:10.1080/01402390.2014.971947 |Krazit, Tom, ‘How the US Air Force Deployed Kubernetes and Istio on an F-16 in 45 Days’, The New Stack, 24 Dec. 2019, https://thenewstack.io/how-the-u-s-air-force-deployed-kubernetes-and-istio-on-an-f-16-in-45-days/|Lake, Daniel R., The Pursuit of Technological Superiority and the Shrinking American Military (New York, NY: Palgrave MacMillan 2019). |</v>
      </c>
    </row>
    <row r="44" customFormat="false" ht="102.2" hidden="false" customHeight="false" outlineLevel="0" collapsed="false">
      <c r="A44" s="4" t="s">
        <v>101</v>
      </c>
      <c r="B44" s="3" t="s">
        <v>102</v>
      </c>
      <c r="C44" s="0" t="str">
        <f aca="false">B44&amp;"|"</f>
        <v>Lavelle, Sean, ‘The Navy’s Kessel Run’, US Naval Institute, 3 Jan. 2019, https://blog.usni.org/posts/2019/01/03/the-navys-kessel-run|</v>
      </c>
      <c r="D44" s="0" t="str">
        <f aca="false">D43&amp;C44</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|Cote, Owen Reid, Jr., ‘The Politics of Innovative Military Doctrine: The US Navy and Fleet Ballistic Missiles’, Doctoral dissertation, Massachusetts Institute of Technology, Feb. 1996. (Open in a new window)Google Scholar|Cronin, Audrey Kurth, Power to the People: How Open Technological Innovation Is Arming Tomorrow’s Terrorists (Oxford: Oxford UP 2020). (Open in a new window)Google Scholar|Department of the Navy, ‘Unmanned Campaign Network’, 16 Mar. 2021, https://www.navy.mil/Portals/1/Strategic/20210315%20Unmanned%20Campaign_Final_LowRes.pdf?ver=LtCZ-BPlWki6vCBTdgtDMA%3D%3D|DiNapoli, Timothy J., ‘DOD’s Use of Other Transactions for Prototype Projects Has Increased’, Government Accountability Office GAO-20–84, Nov. 2019, https://www.gao.gov/assets/710/702861.pdf|Dunn, Richard L., ‘Other Transactions Contracts: Poorly Understood, Little Used’, National Defense Magazine, 15 May 2017, https://www.nationaldefensemagazine.org/articles/2017/5/15/other-transactions-contracts-poorly-understood-little-used|Easley, Matthew P., ‘Army Artificial Intelligence Task Force (AI-TF)’, US Army Futures Command (2019). https://www.clsac.org/uploads/5/0/6/3/50633811/2019-easley-aiml.pdf|Eckhardt, Jonathan T., Michael P. Ciuchta, and Mason Carpenter, ‘Open Innovation, Information, and Entrepreneurship within Platform Ecosystems’, Strategic Entrepreneurship Journal 12 (2018), 369–91. DOI:10.1002/sej.1298 |Eckstein, Megan, ‘Marine Corps Information Community Growing in Capability, Trying to Find Its Place in Joint Operations’, USNI News, 7 Jan. 2020, https://news.usni.org/2020/01/07/marine-corps-information-community-growing-in-capability-trying-to-find-its-place-in-joint-operations|Eversden, Andrew, ‘The Army AI Task Force Takes on Two ‘Key’ Projects’, C4ISRnet, 10 Jun. 2020, https://www.c4isrnet.com/artificial-intelligence/2020/06/10/the-army-ai-task-force-takes-on-two-key-projects/|Farrell, Theo, Sten Rynning, and Terry Terriff, Transforming Military Power since the Cold War: Britain, France, and the United States, 1991–2012 (Cambridge, UK: Cambridge UP 2013). |Feickert, Andrew and Brendan W. McGarry, ‘The Army’s Modernization Strategy: Congressional Oversight Considerations’, Congressional Research Service, 7 Feb. 2020, https://www.everycrsreport.com/files/20200207_R46216_444d93a212c95fd2fba1a596d520ca263a833307.pdf|Feickert, Andrew, ‘The Army’s Future Combat System (FCS): Background and Issues for Congress’, Congressional Research Services, 5 May 2006, https://www.everycrsreport.com/files/20060505_RL32888_bd0c5e4691669243ba6aacea43a6ce91c182246e.pdf|Fiott, Daniel, ‘A Revolution Too Far? US Defence Innovation, Europe and NATO’s Military-Technological Gap’, Journal of Strategic Studies 40/3 (2017), 417–37. DOI:10.1080/01402390.2016.1176565 |Gansler, Jacques, Democracy’s Arsenal: Creating a Twenty-First Century Defense Industry (Cambridge, MA: MIT UP 2011). |Geurts, James F., ‘The Department of the Navy Fiscal Year 2020 Budget Request for Science and Technology Programs’, House Armed Services Committee, 28 Mar. 2019. https://armedservices.house.gov/_cache/files/c/4/c46d8d7f-cade-4487-bae0-f87943aa205e/5AD8EA25BA971C25EF67C083034A43F2.hhrg-116-as26-wstate-geurtsj-20190328.pdf|Gilli, Andrea and Mauro Gilli, ‘Why China Has Not Caught Up Yet: Military-Technological Superiority and the Limits of Imitation, Reverse Engineering, and Cyber Espionage’, International Security 43/3 ( Winter 2018/19), 141–89. DOI:10.1162/isec_a_00337 |Glavy, Matthew G. and Brett Goldstein, ‘The Battle for Mon Cala: Getting the Military to Deliver Its Own Tech Solutions’, War On The Rocks, 20 Aug. 2020, https://warontherocks.com/2020/08/the-battle-for-mon-cala-getting-the-military-to-deliver-its-own-tech-solutions/|Griffin, Stuart, ‘Military Innovation Studies: Multidisciplinary or Lacking Discipline?’, Journal of Strategic Studies 40/1/2 (2016), 196–224. DOI:10.1080/01402390.2016.1196358 |Grissom, Andrew, ‘The Future of Military Innovation Studies’, Journal of Strategic Studies 29/5 (Oct. 2006), 905–34. DOI:10.1080/01402390600901067. |Haduch, Thomas W., ‘Maintaining the US Army Research, Development and Engineering Command Prototype Integration Facilities’, Defense Acquisition University Press. May 2014, https://www.dau.edu/training/career-development/sscf/Documents/T.%20HaduchSSCF2014SRPOPSECFINAL.pdf|Harper, Jon, ‘Army to Release New Wish List for Optionally Manned Fighting Vehicle’, National Defense Magazine, 19 Feb. 2020, https://www.nationaldefensemagazine.org/articles/2020/2/19/army-to-release-new-wish-list-for-optionally-manned-fighting-vehicle|Horowitz, Michael C., The Diffusion of Military Power: Causes and Consequences for International Politics (Princeton, NJ: Princeton UP 2010). |Horowitz, Michael, ‘Artificial Intelligence, International Competition, and the Balance of Power’, Texas National Security Review 1/3 (May 2018), 36–57. https://tnsr.org/2018/05/artificial-intelligence-international-competition-and-the-balance-of-power/|Kaeser, Hans Ulrich, ‘The Future Combat System: What Future Can The Army Afford?’, Center for Strategic and International Studies, 5 Feb. 2009. Working draft, https://csis-website-prod.s3.amazonaws.com/s3fs-public/legacy_files/files/media/csis/pubs/090205_fcsarmy.pdf|Kenyon, Henry, ‘Rapid App Response: Marines to Embed Development Teams with Deployed Units’, GCN, 6 Feb. 2012, https://gcn.com/articles/2012/02/06/marine-corps-apps-embedded-development-teams.aspx|Kleinholz, Joshua, ‘AFwerX Vegas Opens New Doors to Innovation’, Air Combat Command, 23 Aug. 2017, https://www.acc.af.mil/News/Article-Display/Article/1288094/afwerx-vegas-opens-new-doors-to-innovation/|Kollars, Nina A., ‘War’s Horizon: Soldier-Led Adaptation in Iraq and Vietnam’, Journal of Strategic Studies 38/4 (2015), 529–53. DOI:10.1080/01402390.2014.971947 |Krazit, Tom, ‘How the US Air Force Deployed Kubernetes and Istio on an F-16 in 45 Days’, The New Stack, 24 Dec. 2019, https://thenewstack.io/how-the-u-s-air-force-deployed-kubernetes-and-istio-on-an-f-16-in-45-days/|Lake, Daniel R., The Pursuit of Technological Superiority and the Shrinking American Military (New York, NY: Palgrave MacMillan 2019). |Lavelle, Sean, ‘The Navy’s Kessel Run’, US Naval Institute, 3 Jan. 2019, https://blog.usni.org/posts/2019/01/03/the-navys-kessel-run|</v>
      </c>
    </row>
    <row r="45" customFormat="false" ht="147" hidden="false" customHeight="false" outlineLevel="0" collapsed="false">
      <c r="A45" s="4" t="s">
        <v>103</v>
      </c>
      <c r="B45" s="3" t="s">
        <v>104</v>
      </c>
      <c r="C45" s="0" t="str">
        <f aca="false">B45&amp;"|"</f>
        <v>Leonard, Herman, et al., ‘SOFWERX: Innovation at US Special Operations Command’, Harvard Business School Case 819–004, Jul. 2018. (Open in a new window)Google Scholar|</v>
      </c>
      <c r="D45" s="0" t="str">
        <f aca="false">D44&amp;C45</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|Cote, Owen Reid, Jr., ‘The Politics of Innovative Military Doctrine: The US Navy and Fleet Ballistic Missiles’, Doctoral dissertation, Massachusetts Institute of Technology, Feb. 1996. (Open in a new window)Google Scholar|Cronin, Audrey Kurth, Power to the People: How Open Technological Innovation Is Arming Tomorrow’s Terrorists (Oxford: Oxford UP 2020). (Open in a new window)Google Scholar|Department of the Navy, ‘Unmanned Campaign Network’, 16 Mar. 2021, https://www.navy.mil/Portals/1/Strategic/20210315%20Unmanned%20Campaign_Final_LowRes.pdf?ver=LtCZ-BPlWki6vCBTdgtDMA%3D%3D|DiNapoli, Timothy J., ‘DOD’s Use of Other Transactions for Prototype Projects Has Increased’, Government Accountability Office GAO-20–84, Nov. 2019, https://www.gao.gov/assets/710/702861.pdf|Dunn, Richard L., ‘Other Transactions Contracts: Poorly Understood, Little Used’, National Defense Magazine, 15 May 2017, https://www.nationaldefensemagazine.org/articles/2017/5/15/other-transactions-contracts-poorly-understood-little-used|Easley, Matthew P., ‘Army Artificial Intelligence Task Force (AI-TF)’, US Army Futures Command (2019). https://www.clsac.org/uploads/5/0/6/3/50633811/2019-easley-aiml.pdf|Eckhardt, Jonathan T., Michael P. Ciuchta, and Mason Carpenter, ‘Open Innovation, Information, and Entrepreneurship within Platform Ecosystems’, Strategic Entrepreneurship Journal 12 (2018), 369–91. DOI:10.1002/sej.1298 |Eckstein, Megan, ‘Marine Corps Information Community Growing in Capability, Trying to Find Its Place in Joint Operations’, USNI News, 7 Jan. 2020, https://news.usni.org/2020/01/07/marine-corps-information-community-growing-in-capability-trying-to-find-its-place-in-joint-operations|Eversden, Andrew, ‘The Army AI Task Force Takes on Two ‘Key’ Projects’, C4ISRnet, 10 Jun. 2020, https://www.c4isrnet.com/artificial-intelligence/2020/06/10/the-army-ai-task-force-takes-on-two-key-projects/|Farrell, Theo, Sten Rynning, and Terry Terriff, Transforming Military Power since the Cold War: Britain, France, and the United States, 1991–2012 (Cambridge, UK: Cambridge UP 2013). |Feickert, Andrew and Brendan W. McGarry, ‘The Army’s Modernization Strategy: Congressional Oversight Considerations’, Congressional Research Service, 7 Feb. 2020, https://www.everycrsreport.com/files/20200207_R46216_444d93a212c95fd2fba1a596d520ca263a833307.pdf|Feickert, Andrew, ‘The Army’s Future Combat System (FCS): Background and Issues for Congress’, Congressional Research Services, 5 May 2006, https://www.everycrsreport.com/files/20060505_RL32888_bd0c5e4691669243ba6aacea43a6ce91c182246e.pdf|Fiott, Daniel, ‘A Revolution Too Far? US Defence Innovation, Europe and NATO’s Military-Technological Gap’, Journal of Strategic Studies 40/3 (2017), 417–37. DOI:10.1080/01402390.2016.1176565 |Gansler, Jacques, Democracy’s Arsenal: Creating a Twenty-First Century Defense Industry (Cambridge, MA: MIT UP 2011). |Geurts, James F., ‘The Department of the Navy Fiscal Year 2020 Budget Request for Science and Technology Programs’, House Armed Services Committee, 28 Mar. 2019. https://armedservices.house.gov/_cache/files/c/4/c46d8d7f-cade-4487-bae0-f87943aa205e/5AD8EA25BA971C25EF67C083034A43F2.hhrg-116-as26-wstate-geurtsj-20190328.pdf|Gilli, Andrea and Mauro Gilli, ‘Why China Has Not Caught Up Yet: Military-Technological Superiority and the Limits of Imitation, Reverse Engineering, and Cyber Espionage’, International Security 43/3 ( Winter 2018/19), 141–89. DOI:10.1162/isec_a_00337 |Glavy, Matthew G. and Brett Goldstein, ‘The Battle for Mon Cala: Getting the Military to Deliver Its Own Tech Solutions’, War On The Rocks, 20 Aug. 2020, https://warontherocks.com/2020/08/the-battle-for-mon-cala-getting-the-military-to-deliver-its-own-tech-solutions/|Griffin, Stuart, ‘Military Innovation Studies: Multidisciplinary or Lacking Discipline?’, Journal of Strategic Studies 40/1/2 (2016), 196–224. DOI:10.1080/01402390.2016.1196358 |Grissom, Andrew, ‘The Future of Military Innovation Studies’, Journal of Strategic Studies 29/5 (Oct. 2006), 905–34. DOI:10.1080/01402390600901067. |Haduch, Thomas W., ‘Maintaining the US Army Research, Development and Engineering Command Prototype Integration Facilities’, Defense Acquisition University Press. May 2014, https://www.dau.edu/training/career-development/sscf/Documents/T.%20HaduchSSCF2014SRPOPSECFINAL.pdf|Harper, Jon, ‘Army to Release New Wish List for Optionally Manned Fighting Vehicle’, National Defense Magazine, 19 Feb. 2020, https://www.nationaldefensemagazine.org/articles/2020/2/19/army-to-release-new-wish-list-for-optionally-manned-fighting-vehicle|Horowitz, Michael C., The Diffusion of Military Power: Causes and Consequences for International Politics (Princeton, NJ: Princeton UP 2010). |Horowitz, Michael, ‘Artificial Intelligence, International Competition, and the Balance of Power’, Texas National Security Review 1/3 (May 2018), 36–57. https://tnsr.org/2018/05/artificial-intelligence-international-competition-and-the-balance-of-power/|Kaeser, Hans Ulrich, ‘The Future Combat System: What Future Can The Army Afford?’, Center for Strategic and International Studies, 5 Feb. 2009. Working draft, https://csis-website-prod.s3.amazonaws.com/s3fs-public/legacy_files/files/media/csis/pubs/090205_fcsarmy.pdf|Kenyon, Henry, ‘Rapid App Response: Marines to Embed Development Teams with Deployed Units’, GCN, 6 Feb. 2012, https://gcn.com/articles/2012/02/06/marine-corps-apps-embedded-development-teams.aspx|Kleinholz, Joshua, ‘AFwerX Vegas Opens New Doors to Innovation’, Air Combat Command, 23 Aug. 2017, https://www.acc.af.mil/News/Article-Display/Article/1288094/afwerx-vegas-opens-new-doors-to-innovation/|Kollars, Nina A., ‘War’s Horizon: Soldier-Led Adaptation in Iraq and Vietnam’, Journal of Strategic Studies 38/4 (2015), 529–53. DOI:10.1080/01402390.2014.971947 |Krazit, Tom, ‘How the US Air Force Deployed Kubernetes and Istio on an F-16 in 45 Days’, The New Stack, 24 Dec. 2019, https://thenewstack.io/how-the-u-s-air-force-deployed-kubernetes-and-istio-on-an-f-16-in-45-days/|Lake, Daniel R., The Pursuit of Technological Superiority and the Shrinking American Military (New York, NY: Palgrave MacMillan 2019). |Lavelle, Sean, ‘The Navy’s Kessel Run’, US Naval Institute, 3 Jan. 2019, https://blog.usni.org/posts/2019/01/03/the-navys-kessel-run|Leonard, Herman, et al., ‘SOFWERX: Innovation at US Special Operations Command’, Harvard Business School Case 819–004, Jul. 2018. (Open in a new window)Google Scholar|</v>
      </c>
    </row>
    <row r="46" customFormat="false" ht="91" hidden="false" customHeight="false" outlineLevel="0" collapsed="false">
      <c r="A46" s="4" t="s">
        <v>105</v>
      </c>
      <c r="B46" s="3" t="s">
        <v>105</v>
      </c>
      <c r="C46" s="0" t="str">
        <f aca="false">B46&amp;"|"</f>
        <v>Lindsay, Jon R., Information Technology and Military Power (Ithaca, NY: Cornell UP 2020). |</v>
      </c>
      <c r="D46" s="0" t="str">
        <f aca="false">D45&amp;C46</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|Cote, Owen Reid, Jr., ‘The Politics of Innovative Military Doctrine: The US Navy and Fleet Ballistic Missiles’, Doctoral dissertation, Massachusetts Institute of Technology, Feb. 1996. (Open in a new window)Google Scholar|Cronin, Audrey Kurth, Power to the People: How Open Technological Innovation Is Arming Tomorrow’s Terrorists (Oxford: Oxford UP 2020). (Open in a new window)Google Scholar|Department of the Navy, ‘Unmanned Campaign Network’, 16 Mar. 2021, https://www.navy.mil/Portals/1/Strategic/20210315%20Unmanned%20Campaign_Final_LowRes.pdf?ver=LtCZ-BPlWki6vCBTdgtDMA%3D%3D|DiNapoli, Timothy J., ‘DOD’s Use of Other Transactions for Prototype Projects Has Increased’, Government Accountability Office GAO-20–84, Nov. 2019, https://www.gao.gov/assets/710/702861.pdf|Dunn, Richard L., ‘Other Transactions Contracts: Poorly Understood, Little Used’, National Defense Magazine, 15 May 2017, https://www.nationaldefensemagazine.org/articles/2017/5/15/other-transactions-contracts-poorly-understood-little-used|Easley, Matthew P., ‘Army Artificial Intelligence Task Force (AI-TF)’, US Army Futures Command (2019). https://www.clsac.org/uploads/5/0/6/3/50633811/2019-easley-aiml.pdf|Eckhardt, Jonathan T., Michael P. Ciuchta, and Mason Carpenter, ‘Open Innovation, Information, and Entrepreneurship within Platform Ecosystems’, Strategic Entrepreneurship Journal 12 (2018), 369–91. DOI:10.1002/sej.1298 |Eckstein, Megan, ‘Marine Corps Information Community Growing in Capability, Trying to Find Its Place in Joint Operations’, USNI News, 7 Jan. 2020, https://news.usni.org/2020/01/07/marine-corps-information-community-growing-in-capability-trying-to-find-its-place-in-joint-operations|Eversden, Andrew, ‘The Army AI Task Force Takes on Two ‘Key’ Projects’, C4ISRnet, 10 Jun. 2020, https://www.c4isrnet.com/artificial-intelligence/2020/06/10/the-army-ai-task-force-takes-on-two-key-projects/|Farrell, Theo, Sten Rynning, and Terry Terriff, Transforming Military Power since the Cold War: Britain, France, and the United States, 1991–2012 (Cambridge, UK: Cambridge UP 2013). |Feickert, Andrew and Brendan W. McGarry, ‘The Army’s Modernization Strategy: Congressional Oversight Considerations’, Congressional Research Service, 7 Feb. 2020, https://www.everycrsreport.com/files/20200207_R46216_444d93a212c95fd2fba1a596d520ca263a833307.pdf|Feickert, Andrew, ‘The Army’s Future Combat System (FCS): Background and Issues for Congress’, Congressional Research Services, 5 May 2006, https://www.everycrsreport.com/files/20060505_RL32888_bd0c5e4691669243ba6aacea43a6ce91c182246e.pdf|Fiott, Daniel, ‘A Revolution Too Far? US Defence Innovation, Europe and NATO’s Military-Technological Gap’, Journal of Strategic Studies 40/3 (2017), 417–37. DOI:10.1080/01402390.2016.1176565 |Gansler, Jacques, Democracy’s Arsenal: Creating a Twenty-First Century Defense Industry (Cambridge, MA: MIT UP 2011). |Geurts, James F., ‘The Department of the Navy Fiscal Year 2020 Budget Request for Science and Technology Programs’, House Armed Services Committee, 28 Mar. 2019. https://armedservices.house.gov/_cache/files/c/4/c46d8d7f-cade-4487-bae0-f87943aa205e/5AD8EA25BA971C25EF67C083034A43F2.hhrg-116-as26-wstate-geurtsj-20190328.pdf|Gilli, Andrea and Mauro Gilli, ‘Why China Has Not Caught Up Yet: Military-Technological Superiority and the Limits of Imitation, Reverse Engineering, and Cyber Espionage’, International Security 43/3 ( Winter 2018/19), 141–89. DOI:10.1162/isec_a_00337 |Glavy, Matthew G. and Brett Goldstein, ‘The Battle for Mon Cala: Getting the Military to Deliver Its Own Tech Solutions’, War On The Rocks, 20 Aug. 2020, https://warontherocks.com/2020/08/the-battle-for-mon-cala-getting-the-military-to-deliver-its-own-tech-solutions/|Griffin, Stuart, ‘Military Innovation Studies: Multidisciplinary or Lacking Discipline?’, Journal of Strategic Studies 40/1/2 (2016), 196–224. DOI:10.1080/01402390.2016.1196358 |Grissom, Andrew, ‘The Future of Military Innovation Studies’, Journal of Strategic Studies 29/5 (Oct. 2006), 905–34. DOI:10.1080/01402390600901067. |Haduch, Thomas W., ‘Maintaining the US Army Research, Development and Engineering Command Prototype Integration Facilities’, Defense Acquisition University Press. May 2014, https://www.dau.edu/training/career-development/sscf/Documents/T.%20HaduchSSCF2014SRPOPSECFINAL.pdf|Harper, Jon, ‘Army to Release New Wish List for Optionally Manned Fighting Vehicle’, National Defense Magazine, 19 Feb. 2020, https://www.nationaldefensemagazine.org/articles/2020/2/19/army-to-release-new-wish-list-for-optionally-manned-fighting-vehicle|Horowitz, Michael C., The Diffusion of Military Power: Causes and Consequences for International Politics (Princeton, NJ: Princeton UP 2010). |Horowitz, Michael, ‘Artificial Intelligence, International Competition, and the Balance of Power’, Texas National Security Review 1/3 (May 2018), 36–57. https://tnsr.org/2018/05/artificial-intelligence-international-competition-and-the-balance-of-power/|Kaeser, Hans Ulrich, ‘The Future Combat System: What Future Can The Army Afford?’, Center for Strategic and International Studies, 5 Feb. 2009. Working draft, https://csis-website-prod.s3.amazonaws.com/s3fs-public/legacy_files/files/media/csis/pubs/090205_fcsarmy.pdf|Kenyon, Henry, ‘Rapid App Response: Marines to Embed Development Teams with Deployed Units’, GCN, 6 Feb. 2012, https://gcn.com/articles/2012/02/06/marine-corps-apps-embedded-development-teams.aspx|Kleinholz, Joshua, ‘AFwerX Vegas Opens New Doors to Innovation’, Air Combat Command, 23 Aug. 2017, https://www.acc.af.mil/News/Article-Display/Article/1288094/afwerx-vegas-opens-new-doors-to-innovation/|Kollars, Nina A., ‘War’s Horizon: Soldier-Led Adaptation in Iraq and Vietnam’, Journal of Strategic Studies 38/4 (2015), 529–53. DOI:10.1080/01402390.2014.971947 |Krazit, Tom, ‘How the US Air Force Deployed Kubernetes and Istio on an F-16 in 45 Days’, The New Stack, 24 Dec. 2019, https://thenewstack.io/how-the-u-s-air-force-deployed-kubernetes-and-istio-on-an-f-16-in-45-days/|Lake, Daniel R., The Pursuit of Technological Superiority and the Shrinking American Military (New York, NY: Palgrave MacMillan 2019). |Lavelle, Sean, ‘The Navy’s Kessel Run’, US Naval Institute, 3 Jan. 2019, https://blog.usni.org/posts/2019/01/03/the-navys-kessel-run|Leonard, Herman, et al., ‘SOFWERX: Innovation at US Special Operations Command’, Harvard Business School Case 819–004, Jul. 2018. (Open in a new window)Google Scholar|Lindsay, Jon R., Information Technology and Military Power (Ithaca, NY: Cornell UP 2020). |</v>
      </c>
    </row>
    <row r="47" customFormat="false" ht="113.4" hidden="false" customHeight="false" outlineLevel="0" collapsed="false">
      <c r="A47" s="4" t="s">
        <v>106</v>
      </c>
      <c r="B47" s="3" t="s">
        <v>107</v>
      </c>
      <c r="C47" s="0" t="str">
        <f aca="false">B47&amp;"|"</f>
        <v>Lofgren, Eric, ‘The Future of Navy Software Development with Lt. Sean Lavelle,’ Acquisition Talk (1 Apr. 2020). Audio. (Open in a new window)Google Scholar|</v>
      </c>
      <c r="D47" s="0" t="str">
        <f aca="false">D46&amp;C47</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|Cote, Owen Reid, Jr., ‘The Politics of Innovative Military Doctrine: The US Navy and Fleet Ballistic Missiles’, Doctoral dissertation, Massachusetts Institute of Technology, Feb. 1996. (Open in a new window)Google Scholar|Cronin, Audrey Kurth, Power to the People: How Open Technological Innovation Is Arming Tomorrow’s Terrorists (Oxford: Oxford UP 2020). (Open in a new window)Google Scholar|Department of the Navy, ‘Unmanned Campaign Network’, 16 Mar. 2021, https://www.navy.mil/Portals/1/Strategic/20210315%20Unmanned%20Campaign_Final_LowRes.pdf?ver=LtCZ-BPlWki6vCBTdgtDMA%3D%3D|DiNapoli, Timothy J., ‘DOD’s Use of Other Transactions for Prototype Projects Has Increased’, Government Accountability Office GAO-20–84, Nov. 2019, https://www.gao.gov/assets/710/702861.pdf|Dunn, Richard L., ‘Other Transactions Contracts: Poorly Understood, Little Used’, National Defense Magazine, 15 May 2017, https://www.nationaldefensemagazine.org/articles/2017/5/15/other-transactions-contracts-poorly-understood-little-used|Easley, Matthew P., ‘Army Artificial Intelligence Task Force (AI-TF)’, US Army Futures Command (2019). https://www.clsac.org/uploads/5/0/6/3/50633811/2019-easley-aiml.pdf|Eckhardt, Jonathan T., Michael P. Ciuchta, and Mason Carpenter, ‘Open Innovation, Information, and Entrepreneurship within Platform Ecosystems’, Strategic Entrepreneurship Journal 12 (2018), 369–91. DOI:10.1002/sej.1298 |Eckstein, Megan, ‘Marine Corps Information Community Growing in Capability, Trying to Find Its Place in Joint Operations’, USNI News, 7 Jan. 2020, https://news.usni.org/2020/01/07/marine-corps-information-community-growing-in-capability-trying-to-find-its-place-in-joint-operations|Eversden, Andrew, ‘The Army AI Task Force Takes on Two ‘Key’ Projects’, C4ISRnet, 10 Jun. 2020, https://www.c4isrnet.com/artificial-intelligence/2020/06/10/the-army-ai-task-force-takes-on-two-key-projects/|Farrell, Theo, Sten Rynning, and Terry Terriff, Transforming Military Power since the Cold War: Britain, France, and the United States, 1991–2012 (Cambridge, UK: Cambridge UP 2013). |Feickert, Andrew and Brendan W. McGarry, ‘The Army’s Modernization Strategy: Congressional Oversight Considerations’, Congressional Research Service, 7 Feb. 2020, https://www.everycrsreport.com/files/20200207_R46216_444d93a212c95fd2fba1a596d520ca263a833307.pdf|Feickert, Andrew, ‘The Army’s Future Combat System (FCS): Background and Issues for Congress’, Congressional Research Services, 5 May 2006, https://www.everycrsreport.com/files/20060505_RL32888_bd0c5e4691669243ba6aacea43a6ce91c182246e.pdf|Fiott, Daniel, ‘A Revolution Too Far? US Defence Innovation, Europe and NATO’s Military-Technological Gap’, Journal of Strategic Studies 40/3 (2017), 417–37. DOI:10.1080/01402390.2016.1176565 |Gansler, Jacques, Democracy’s Arsenal: Creating a Twenty-First Century Defense Industry (Cambridge, MA: MIT UP 2011). |Geurts, James F., ‘The Department of the Navy Fiscal Year 2020 Budget Request for Science and Technology Programs’, House Armed Services Committee, 28 Mar. 2019. https://armedservices.house.gov/_cache/files/c/4/c46d8d7f-cade-4487-bae0-f87943aa205e/5AD8EA25BA971C25EF67C083034A43F2.hhrg-116-as26-wstate-geurtsj-20190328.pdf|Gilli, Andrea and Mauro Gilli, ‘Why China Has Not Caught Up Yet: Military-Technological Superiority and the Limits of Imitation, Reverse Engineering, and Cyber Espionage’, International Security 43/3 ( Winter 2018/19), 141–89. DOI:10.1162/isec_a_00337 |Glavy, Matthew G. and Brett Goldstein, ‘The Battle for Mon Cala: Getting the Military to Deliver Its Own Tech Solutions’, War On The Rocks, 20 Aug. 2020, https://warontherocks.com/2020/08/the-battle-for-mon-cala-getting-the-military-to-deliver-its-own-tech-solutions/|Griffin, Stuart, ‘Military Innovation Studies: Multidisciplinary or Lacking Discipline?’, Journal of Strategic Studies 40/1/2 (2016), 196–224. DOI:10.1080/01402390.2016.1196358 |Grissom, Andrew, ‘The Future of Military Innovation Studies’, Journal of Strategic Studies 29/5 (Oct. 2006), 905–34. DOI:10.1080/01402390600901067. |Haduch, Thomas W., ‘Maintaining the US Army Research, Development and Engineering Command Prototype Integration Facilities’, Defense Acquisition University Press. May 2014, https://www.dau.edu/training/career-development/sscf/Documents/T.%20HaduchSSCF2014SRPOPSECFINAL.pdf|Harper, Jon, ‘Army to Release New Wish List for Optionally Manned Fighting Vehicle’, National Defense Magazine, 19 Feb. 2020, https://www.nationaldefensemagazine.org/articles/2020/2/19/army-to-release-new-wish-list-for-optionally-manned-fighting-vehicle|Horowitz, Michael C., The Diffusion of Military Power: Causes and Consequences for International Politics (Princeton, NJ: Princeton UP 2010). |Horowitz, Michael, ‘Artificial Intelligence, International Competition, and the Balance of Power’, Texas National Security Review 1/3 (May 2018), 36–57. https://tnsr.org/2018/05/artificial-intelligence-international-competition-and-the-balance-of-power/|Kaeser, Hans Ulrich, ‘The Future Combat System: What Future Can The Army Afford?’, Center for Strategic and International Studies, 5 Feb. 2009. Working draft, https://csis-website-prod.s3.amazonaws.com/s3fs-public/legacy_files/files/media/csis/pubs/090205_fcsarmy.pdf|Kenyon, Henry, ‘Rapid App Response: Marines to Embed Development Teams with Deployed Units’, GCN, 6 Feb. 2012, https://gcn.com/articles/2012/02/06/marine-corps-apps-embedded-development-teams.aspx|Kleinholz, Joshua, ‘AFwerX Vegas Opens New Doors to Innovation’, Air Combat Command, 23 Aug. 2017, https://www.acc.af.mil/News/Article-Display/Article/1288094/afwerx-vegas-opens-new-doors-to-innovation/|Kollars, Nina A., ‘War’s Horizon: Soldier-Led Adaptation in Iraq and Vietnam’, Journal of Strategic Studies 38/4 (2015), 529–53. DOI:10.1080/01402390.2014.971947 |Krazit, Tom, ‘How the US Air Force Deployed Kubernetes and Istio on an F-16 in 45 Days’, The New Stack, 24 Dec. 2019, https://thenewstack.io/how-the-u-s-air-force-deployed-kubernetes-and-istio-on-an-f-16-in-45-days/|Lake, Daniel R., The Pursuit of Technological Superiority and the Shrinking American Military (New York, NY: Palgrave MacMillan 2019). |Lavelle, Sean, ‘The Navy’s Kessel Run’, US Naval Institute, 3 Jan. 2019, https://blog.usni.org/posts/2019/01/03/the-navys-kessel-run|Leonard, Herman, et al., ‘SOFWERX: Innovation at US Special Operations Command’, Harvard Business School Case 819–004, Jul. 2018. (Open in a new window)Google Scholar|Lindsay, Jon R., Information Technology and Military Power (Ithaca, NY: Cornell UP 2020). |Lofgren, Eric, ‘The Future of Navy Software Development with Lt. Sean Lavelle,’ Acquisition Talk (1 Apr. 2020). Audio. (Open in a new window)Google Scholar|</v>
      </c>
    </row>
    <row r="48" customFormat="false" ht="258.95" hidden="false" customHeight="false" outlineLevel="0" collapsed="false">
      <c r="A48" s="4" t="s">
        <v>108</v>
      </c>
      <c r="B48" s="3" t="s">
        <v>109</v>
      </c>
      <c r="C48" s="0" t="str">
        <f aca="false">B48&amp;"|"</f>
        <v>Lofgren, Eric, ‘The Last Frontier of Acquisition Reform: The Budget Process’, Conference Paper, Proceedings of the Seventeenth Annual Acquisition Research Symposium, 13-14 May 2020. Prepared for the Naval Postgraduate School, Monterey, CA. (Open in a new window)Google Scholar|</v>
      </c>
      <c r="D48" s="0" t="str">
        <f aca="false">D47&amp;C48</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|Cote, Owen Reid, Jr., ‘The Politics of Innovative Military Doctrine: The US Navy and Fleet Ballistic Missiles’, Doctoral dissertation, Massachusetts Institute of Technology, Feb. 1996. (Open in a new window)Google Scholar|Cronin, Audrey Kurth, Power to the People: How Open Technological Innovation Is Arming Tomorrow’s Terrorists (Oxford: Oxford UP 2020). (Open in a new window)Google Scholar|Department of the Navy, ‘Unmanned Campaign Network’, 16 Mar. 2021, https://www.navy.mil/Portals/1/Strategic/20210315%20Unmanned%20Campaign_Final_LowRes.pdf?ver=LtCZ-BPlWki6vCBTdgtDMA%3D%3D|DiNapoli, Timothy J., ‘DOD’s Use of Other Transactions for Prototype Projects Has Increased’, Government Accountability Office GAO-20–84, Nov. 2019, https://www.gao.gov/assets/710/702861.pdf|Dunn, Richard L., ‘Other Transactions Contracts: Poorly Understood, Little Used’, National Defense Magazine, 15 May 2017, https://www.nationaldefensemagazine.org/articles/2017/5/15/other-transactions-contracts-poorly-understood-little-used|Easley, Matthew P., ‘Army Artificial Intelligence Task Force (AI-TF)’, US Army Futures Command (2019). https://www.clsac.org/uploads/5/0/6/3/50633811/2019-easley-aiml.pdf|Eckhardt, Jonathan T., Michael P. Ciuchta, and Mason Carpenter, ‘Open Innovation, Information, and Entrepreneurship within Platform Ecosystems’, Strategic Entrepreneurship Journal 12 (2018), 369–91. DOI:10.1002/sej.1298 |Eckstein, Megan, ‘Marine Corps Information Community Growing in Capability, Trying to Find Its Place in Joint Operations’, USNI News, 7 Jan. 2020, https://news.usni.org/2020/01/07/marine-corps-information-community-growing-in-capability-trying-to-find-its-place-in-joint-operations|Eversden, Andrew, ‘The Army AI Task Force Takes on Two ‘Key’ Projects’, C4ISRnet, 10 Jun. 2020, https://www.c4isrnet.com/artificial-intelligence/2020/06/10/the-army-ai-task-force-takes-on-two-key-projects/|Farrell, Theo, Sten Rynning, and Terry Terriff, Transforming Military Power since the Cold War: Britain, France, and the United States, 1991–2012 (Cambridge, UK: Cambridge UP 2013). |Feickert, Andrew and Brendan W. McGarry, ‘The Army’s Modernization Strategy: Congressional Oversight Considerations’, Congressional Research Service, 7 Feb. 2020, https://www.everycrsreport.com/files/20200207_R46216_444d93a212c95fd2fba1a596d520ca263a833307.pdf|Feickert, Andrew, ‘The Army’s Future Combat System (FCS): Background and Issues for Congress’, Congressional Research Services, 5 May 2006, https://www.everycrsreport.com/files/20060505_RL32888_bd0c5e4691669243ba6aacea43a6ce91c182246e.pdf|Fiott, Daniel, ‘A Revolution Too Far? US Defence Innovation, Europe and NATO’s Military-Technological Gap’, Journal of Strategic Studies 40/3 (2017), 417–37. DOI:10.1080/01402390.2016.1176565 |Gansler, Jacques, Democracy’s Arsenal: Creating a Twenty-First Century Defense Industry (Cambridge, MA: MIT UP 2011). |Geurts, James F., ‘The Department of the Navy Fiscal Year 2020 Budget Request for Science and Technology Programs’, House Armed Services Committee, 28 Mar. 2019. https://armedservices.house.gov/_cache/files/c/4/c46d8d7f-cade-4487-bae0-f87943aa205e/5AD8EA25BA971C25EF67C083034A43F2.hhrg-116-as26-wstate-geurtsj-20190328.pdf|Gilli, Andrea and Mauro Gilli, ‘Why China Has Not Caught Up Yet: Military-Technological Superiority and the Limits of Imitation, Reverse Engineering, and Cyber Espionage’, International Security 43/3 ( Winter 2018/19), 141–89. DOI:10.1162/isec_a_00337 |Glavy, Matthew G. and Brett Goldstein, ‘The Battle for Mon Cala: Getting the Military to Deliver Its Own Tech Solutions’, War On The Rocks, 20 Aug. 2020, https://warontherocks.com/2020/08/the-battle-for-mon-cala-getting-the-military-to-deliver-its-own-tech-solutions/|Griffin, Stuart, ‘Military Innovation Studies: Multidisciplinary or Lacking Discipline?’, Journal of Strategic Studies 40/1/2 (2016), 196–224. DOI:10.1080/01402390.2016.1196358 |Grissom, Andrew, ‘The Future of Military Innovation Studies’, Journal of Strategic Studies 29/5 (Oct. 2006), 905–34. DOI:10.1080/01402390600901067. |Haduch, Thomas W., ‘Maintaining the US Army Research, Development and Engineering Command Prototype Integration Facilities’, Defense Acquisition University Press. May 2014, https://www.dau.edu/training/career-development/sscf/Documents/T.%20HaduchSSCF2014SRPOPSECFINAL.pdf|Harper, Jon, ‘Army to Release New Wish List for Optionally Manned Fighting Vehicle’, National Defense Magazine, 19 Feb. 2020, https://www.nationaldefensemagazine.org/articles/2020/2/19/army-to-release-new-wish-list-for-optionally-manned-fighting-vehicle|Horowitz, Michael C., The Diffusion of Military Power: Causes and Consequences for International Politics (Princeton, NJ: Princeton UP 2010). |Horowitz, Michael, ‘Artificial Intelligence, International Competition, and the Balance of Power’, Texas National Security Review 1/3 (May 2018), 36–57. https://tnsr.org/2018/05/artificial-intelligence-international-competition-and-the-balance-of-power/|Kaeser, Hans Ulrich, ‘The Future Combat System: What Future Can The Army Afford?’, Center for Strategic and International Studies, 5 Feb. 2009. Working draft, https://csis-website-prod.s3.amazonaws.com/s3fs-public/legacy_files/files/media/csis/pubs/090205_fcsarmy.pdf|Kenyon, Henry, ‘Rapid App Response: Marines to Embed Development Teams with Deployed Units’, GCN, 6 Feb. 2012, https://gcn.com/articles/2012/02/06/marine-corps-apps-embedded-development-teams.aspx|Kleinholz, Joshua, ‘AFwerX Vegas Opens New Doors to Innovation’, Air Combat Command, 23 Aug. 2017, https://www.acc.af.mil/News/Article-Display/Article/1288094/afwerx-vegas-opens-new-doors-to-innovation/|Kollars, Nina A., ‘War’s Horizon: Soldier-Led Adaptation in Iraq and Vietnam’, Journal of Strategic Studies 38/4 (2015), 529–53. DOI:10.1080/01402390.2014.971947 |Krazit, Tom, ‘How the US Air Force Deployed Kubernetes and Istio on an F-16 in 45 Days’, The New Stack, 24 Dec. 2019, https://thenewstack.io/how-the-u-s-air-force-deployed-kubernetes-and-istio-on-an-f-16-in-45-days/|Lake, Daniel R., The Pursuit of Technological Superiority and the Shrinking American Military (New York, NY: Palgrave MacMillan 2019). |Lavelle, Sean, ‘The Navy’s Kessel Run’, US Naval Institute, 3 Jan. 2019, https://blog.usni.org/posts/2019/01/03/the-navys-kessel-run|Leonard, Herman, et al., ‘SOFWERX: Innovation at US Special Operations Command’, Harvard Business School Case 819–004, Jul. 2018. (Open in a new window)Google Scholar|Lindsay, Jon R., Information Technology and Military Power (Ithaca, NY: Cornell UP 2020). |Lofgren, Eric, ‘The Future of Navy Software Development with Lt. Sean Lavelle,’ Acquisition Talk (1 Apr. 2020). Audio. (Open in a new window)Google Scholar|Lofgren, Eric, ‘The Last Frontier of Acquisition Reform: The Budget Process’, Conference Paper, Proceedings of the Seventeenth Annual Acquisition Research Symposium, 13-14 May 2020. Prepared for the Naval Postgraduate School, Monterey, CA. (Open in a new window)Google Scholar|</v>
      </c>
    </row>
    <row r="49" customFormat="false" ht="158.2" hidden="false" customHeight="false" outlineLevel="0" collapsed="false">
      <c r="A49" s="4" t="s">
        <v>110</v>
      </c>
      <c r="B49" s="3" t="s">
        <v>111</v>
      </c>
      <c r="C49" s="0" t="str">
        <f aca="false">B49&amp;"|"</f>
        <v>Mabus, Ray, ‘Harnessing the Navy’s Culture of Innovation’, Naval Science and Technology Future Force Magazine, 7 Apr. 2015, https://futureforce.navylive.dodlive.mil/2015/04/harnessing-the-navys-culture-of-innovation/|</v>
      </c>
      <c r="D49" s="0" t="str">
        <f aca="false">D48&amp;C49</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|Cote, Owen Reid, Jr., ‘The Politics of Innovative Military Doctrine: The US Navy and Fleet Ballistic Missiles’, Doctoral dissertation, Massachusetts Institute of Technology, Feb. 1996. (Open in a new window)Google Scholar|Cronin, Audrey Kurth, Power to the People: How Open Technological Innovation Is Arming Tomorrow’s Terrorists (Oxford: Oxford UP 2020). (Open in a new window)Google Scholar|Department of the Navy, ‘Unmanned Campaign Network’, 16 Mar. 2021, https://www.navy.mil/Portals/1/Strategic/20210315%20Unmanned%20Campaign_Final_LowRes.pdf?ver=LtCZ-BPlWki6vCBTdgtDMA%3D%3D|DiNapoli, Timothy J., ‘DOD’s Use of Other Transactions for Prototype Projects Has Increased’, Government Accountability Office GAO-20–84, Nov. 2019, https://www.gao.gov/assets/710/702861.pdf|Dunn, Richard L., ‘Other Transactions Contracts: Poorly Understood, Little Used’, National Defense Magazine, 15 May 2017, https://www.nationaldefensemagazine.org/articles/2017/5/15/other-transactions-contracts-poorly-understood-little-used|Easley, Matthew P., ‘Army Artificial Intelligence Task Force (AI-TF)’, US Army Futures Command (2019). https://www.clsac.org/uploads/5/0/6/3/50633811/2019-easley-aiml.pdf|Eckhardt, Jonathan T., Michael P. Ciuchta, and Mason Carpenter, ‘Open Innovation, Information, and Entrepreneurship within Platform Ecosystems’, Strategic Entrepreneurship Journal 12 (2018), 369–91. DOI:10.1002/sej.1298 |Eckstein, Megan, ‘Marine Corps Information Community Growing in Capability, Trying to Find Its Place in Joint Operations’, USNI News, 7 Jan. 2020, https://news.usni.org/2020/01/07/marine-corps-information-community-growing-in-capability-trying-to-find-its-place-in-joint-operations|Eversden, Andrew, ‘The Army AI Task Force Takes on Two ‘Key’ Projects’, C4ISRnet, 10 Jun. 2020, https://www.c4isrnet.com/artificial-intelligence/2020/06/10/the-army-ai-task-force-takes-on-two-key-projects/|Farrell, Theo, Sten Rynning, and Terry Terriff, Transforming Military Power since the Cold War: Britain, France, and the United States, 1991–2012 (Cambridge, UK: Cambridge UP 2013). |Feickert, Andrew and Brendan W. McGarry, ‘The Army’s Modernization Strategy: Congressional Oversight Considerations’, Congressional Research Service, 7 Feb. 2020, https://www.everycrsreport.com/files/20200207_R46216_444d93a212c95fd2fba1a596d520ca263a833307.pdf|Feickert, Andrew, ‘The Army’s Future Combat System (FCS): Background and Issues for Congress’, Congressional Research Services, 5 May 2006, https://www.everycrsreport.com/files/20060505_RL32888_bd0c5e4691669243ba6aacea43a6ce91c182246e.pdf|Fiott, Daniel, ‘A Revolution Too Far? US Defence Innovation, Europe and NATO’s Military-Technological Gap’, Journal of Strategic Studies 40/3 (2017), 417–37. DOI:10.1080/01402390.2016.1176565 |Gansler, Jacques, Democracy’s Arsenal: Creating a Twenty-First Century Defense Industry (Cambridge, MA: MIT UP 2011). |Geurts, James F., ‘The Department of the Navy Fiscal Year 2020 Budget Request for Science and Technology Programs’, House Armed Services Committee, 28 Mar. 2019. https://armedservices.house.gov/_cache/files/c/4/c46d8d7f-cade-4487-bae0-f87943aa205e/5AD8EA25BA971C25EF67C083034A43F2.hhrg-116-as26-wstate-geurtsj-20190328.pdf|Gilli, Andrea and Mauro Gilli, ‘Why China Has Not Caught Up Yet: Military-Technological Superiority and the Limits of Imitation, Reverse Engineering, and Cyber Espionage’, International Security 43/3 ( Winter 2018/19), 141–89. DOI:10.1162/isec_a_00337 |Glavy, Matthew G. and Brett Goldstein, ‘The Battle for Mon Cala: Getting the Military to Deliver Its Own Tech Solutions’, War On The Rocks, 20 Aug. 2020, https://warontherocks.com/2020/08/the-battle-for-mon-cala-getting-the-military-to-deliver-its-own-tech-solutions/|Griffin, Stuart, ‘Military Innovation Studies: Multidisciplinary or Lacking Discipline?’, Journal of Strategic Studies 40/1/2 (2016), 196–224. DOI:10.1080/01402390.2016.1196358 |Grissom, Andrew, ‘The Future of Military Innovation Studies’, Journal of Strategic Studies 29/5 (Oct. 2006), 905–34. DOI:10.1080/01402390600901067. |Haduch, Thomas W., ‘Maintaining the US Army Research, Development and Engineering Command Prototype Integration Facilities’, Defense Acquisition University Press. May 2014, https://www.dau.edu/training/career-development/sscf/Documents/T.%20HaduchSSCF2014SRPOPSECFINAL.pdf|Harper, Jon, ‘Army to Release New Wish List for Optionally Manned Fighting Vehicle’, National Defense Magazine, 19 Feb. 2020, https://www.nationaldefensemagazine.org/articles/2020/2/19/army-to-release-new-wish-list-for-optionally-manned-fighting-vehicle|Horowitz, Michael C., The Diffusion of Military Power: Causes and Consequences for International Politics (Princeton, NJ: Princeton UP 2010). |Horowitz, Michael, ‘Artificial Intelligence, International Competition, and the Balance of Power’, Texas National Security Review 1/3 (May 2018), 36–57. https://tnsr.org/2018/05/artificial-intelligence-international-competition-and-the-balance-of-power/|Kaeser, Hans Ulrich, ‘The Future Combat System: What Future Can The Army Afford?’, Center for Strategic and International Studies, 5 Feb. 2009. Working draft, https://csis-website-prod.s3.amazonaws.com/s3fs-public/legacy_files/files/media/csis/pubs/090205_fcsarmy.pdf|Kenyon, Henry, ‘Rapid App Response: Marines to Embed Development Teams with Deployed Units’, GCN, 6 Feb. 2012, https://gcn.com/articles/2012/02/06/marine-corps-apps-embedded-development-teams.aspx|Kleinholz, Joshua, ‘AFwerX Vegas Opens New Doors to Innovation’, Air Combat Command, 23 Aug. 2017, https://www.acc.af.mil/News/Article-Display/Article/1288094/afwerx-vegas-opens-new-doors-to-innovation/|Kollars, Nina A., ‘War’s Horizon: Soldier-Led Adaptation in Iraq and Vietnam’, Journal of Strategic Studies 38/4 (2015), 529–53. DOI:10.1080/01402390.2014.971947 |Krazit, Tom, ‘How the US Air Force Deployed Kubernetes and Istio on an F-16 in 45 Days’, The New Stack, 24 Dec. 2019, https://thenewstack.io/how-the-u-s-air-force-deployed-kubernetes-and-istio-on-an-f-16-in-45-days/|Lake, Daniel R., The Pursuit of Technological Superiority and the Shrinking American Military (New York, NY: Palgrave MacMillan 2019). |Lavelle, Sean, ‘The Navy’s Kessel Run’, US Naval Institute, 3 Jan. 2019, https://blog.usni.org/posts/2019/01/03/the-navys-kessel-run|Leonard, Herman, et al., ‘SOFWERX: Innovation at US Special Operations Command’, Harvard Business School Case 819–004, Jul. 2018. (Open in a new window)Google Scholar|Lindsay, Jon R., Information Technology and Military Power (Ithaca, NY: Cornell UP 2020). |Lofgren, Eric, ‘The Future of Navy Software Development with Lt. Sean Lavelle,’ Acquisition Talk (1 Apr. 2020). Audio. (Open in a new window)Google Scholar|Lofgren, Eric, ‘The Last Frontier of Acquisition Reform: The Budget Process’, Conference Paper, Proceedings of the Seventeenth Annual Acquisition Research Symposium, 13-14 May 2020. Prepared for the Naval Postgraduate School, Monterey, CA. (Open in a new window)Google Scholar|Mabus, Ray, ‘Harnessing the Navy’s Culture of Innovation’, Naval Science and Technology Future Force Magazine, 7 Apr. 2015, https://futureforce.navylive.dodlive.mil/2015/04/harnessing-the-navys-culture-of-innovation/|</v>
      </c>
    </row>
    <row r="50" customFormat="false" ht="169.4" hidden="false" customHeight="false" outlineLevel="0" collapsed="false">
      <c r="A50" s="4" t="s">
        <v>112</v>
      </c>
      <c r="B50" s="3" t="s">
        <v>113</v>
      </c>
      <c r="C50" s="0" t="str">
        <f aca="false">B50&amp;"|"</f>
        <v>Magnuson, Stew, ‘AUSA NEWS: Army Futures Command Breaking Down Barriers’, National Defense Magazine, 16 Oct. 2019, https://www.nationaldefensemagazine.org/articles/2019/10/16/army-futures-command-breaking-down-barriers|</v>
      </c>
      <c r="D50" s="0" t="str">
        <f aca="false">D49&amp;C50</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|Cote, Owen Reid, Jr., ‘The Politics of Innovative Military Doctrine: The US Navy and Fleet Ballistic Missiles’, Doctoral dissertation, Massachusetts Institute of Technology, Feb. 1996. (Open in a new window)Google Scholar|Cronin, Audrey Kurth, Power to the People: How Open Technological Innovation Is Arming Tomorrow’s Terrorists (Oxford: Oxford UP 2020). (Open in a new window)Google Scholar|Department of the Navy, ‘Unmanned Campaign Network’, 16 Mar. 2021, https://www.navy.mil/Portals/1/Strategic/20210315%20Unmanned%20Campaign_Final_LowRes.pdf?ver=LtCZ-BPlWki6vCBTdgtDMA%3D%3D|DiNapoli, Timothy J., ‘DOD’s Use of Other Transactions for Prototype Projects Has Increased’, Government Accountability Office GAO-20–84, Nov. 2019, https://www.gao.gov/assets/710/702861.pdf|Dunn, Richard L., ‘Other Transactions Contracts: Poorly Understood, Little Used’, National Defense Magazine, 15 May 2017, https://www.nationaldefensemagazine.org/articles/2017/5/15/other-transactions-contracts-poorly-understood-little-used|Easley, Matthew P., ‘Army Artificial Intelligence Task Force (AI-TF)’, US Army Futures Command (2019). https://www.clsac.org/uploads/5/0/6/3/50633811/2019-easley-aiml.pdf|Eckhardt, Jonathan T., Michael P. Ciuchta, and Mason Carpenter, ‘Open Innovation, Information, and Entrepreneurship within Platform Ecosystems’, Strategic Entrepreneurship Journal 12 (2018), 369–91. DOI:10.1002/sej.1298 |Eckstein, Megan, ‘Marine Corps Information Community Growing in Capability, Trying to Find Its Place in Joint Operations’, USNI News, 7 Jan. 2020, https://news.usni.org/2020/01/07/marine-corps-information-community-growing-in-capability-trying-to-find-its-place-in-joint-operations|Eversden, Andrew, ‘The Army AI Task Force Takes on Two ‘Key’ Projects’, C4ISRnet, 10 Jun. 2020, https://www.c4isrnet.com/artificial-intelligence/2020/06/10/the-army-ai-task-force-takes-on-two-key-projects/|Farrell, Theo, Sten Rynning, and Terry Terriff, Transforming Military Power since the Cold War: Britain, France, and the United States, 1991–2012 (Cambridge, UK: Cambridge UP 2013). |Feickert, Andrew and Brendan W. McGarry, ‘The Army’s Modernization Strategy: Congressional Oversight Considerations’, Congressional Research Service, 7 Feb. 2020, https://www.everycrsreport.com/files/20200207_R46216_444d93a212c95fd2fba1a596d520ca263a833307.pdf|Feickert, Andrew, ‘The Army’s Future Combat System (FCS): Background and Issues for Congress’, Congressional Research Services, 5 May 2006, https://www.everycrsreport.com/files/20060505_RL32888_bd0c5e4691669243ba6aacea43a6ce91c182246e.pdf|Fiott, Daniel, ‘A Revolution Too Far? US Defence Innovation, Europe and NATO’s Military-Technological Gap’, Journal of Strategic Studies 40/3 (2017), 417–37. DOI:10.1080/01402390.2016.1176565 |Gansler, Jacques, Democracy’s Arsenal: Creating a Twenty-First Century Defense Industry (Cambridge, MA: MIT UP 2011). |Geurts, James F., ‘The Department of the Navy Fiscal Year 2020 Budget Request for Science and Technology Programs’, House Armed Services Committee, 28 Mar. 2019. https://armedservices.house.gov/_cache/files/c/4/c46d8d7f-cade-4487-bae0-f87943aa205e/5AD8EA25BA971C25EF67C083034A43F2.hhrg-116-as26-wstate-geurtsj-20190328.pdf|Gilli, Andrea and Mauro Gilli, ‘Why China Has Not Caught Up Yet: Military-Technological Superiority and the Limits of Imitation, Reverse Engineering, and Cyber Espionage’, International Security 43/3 ( Winter 2018/19), 141–89. DOI:10.1162/isec_a_00337 |Glavy, Matthew G. and Brett Goldstein, ‘The Battle for Mon Cala: Getting the Military to Deliver Its Own Tech Solutions’, War On The Rocks, 20 Aug. 2020, https://warontherocks.com/2020/08/the-battle-for-mon-cala-getting-the-military-to-deliver-its-own-tech-solutions/|Griffin, Stuart, ‘Military Innovation Studies: Multidisciplinary or Lacking Discipline?’, Journal of Strategic Studies 40/1/2 (2016), 196–224. DOI:10.1080/01402390.2016.1196358 |Grissom, Andrew, ‘The Future of Military Innovation Studies’, Journal of Strategic Studies 29/5 (Oct. 2006), 905–34. DOI:10.1080/01402390600901067. |Haduch, Thomas W., ‘Maintaining the US Army Research, Development and Engineering Command Prototype Integration Facilities’, Defense Acquisition University Press. May 2014, https://www.dau.edu/training/career-development/sscf/Documents/T.%20HaduchSSCF2014SRPOPSECFINAL.pdf|Harper, Jon, ‘Army to Release New Wish List for Optionally Manned Fighting Vehicle’, National Defense Magazine, 19 Feb. 2020, https://www.nationaldefensemagazine.org/articles/2020/2/19/army-to-release-new-wish-list-for-optionally-manned-fighting-vehicle|Horowitz, Michael C., The Diffusion of Military Power: Causes and Consequences for International Politics (Princeton, NJ: Princeton UP 2010). |Horowitz, Michael, ‘Artificial Intelligence, International Competition, and the Balance of Power’, Texas National Security Review 1/3 (May 2018), 36–57. https://tnsr.org/2018/05/artificial-intelligence-international-competition-and-the-balance-of-power/|Kaeser, Hans Ulrich, ‘The Future Combat System: What Future Can The Army Afford?’, Center for Strategic and International Studies, 5 Feb. 2009. Working draft, https://csis-website-prod.s3.amazonaws.com/s3fs-public/legacy_files/files/media/csis/pubs/090205_fcsarmy.pdf|Kenyon, Henry, ‘Rapid App Response: Marines to Embed Development Teams with Deployed Units’, GCN, 6 Feb. 2012, https://gcn.com/articles/2012/02/06/marine-corps-apps-embedded-development-teams.aspx|Kleinholz, Joshua, ‘AFwerX Vegas Opens New Doors to Innovation’, Air Combat Command, 23 Aug. 2017, https://www.acc.af.mil/News/Article-Display/Article/1288094/afwerx-vegas-opens-new-doors-to-innovation/|Kollars, Nina A., ‘War’s Horizon: Soldier-Led Adaptation in Iraq and Vietnam’, Journal of Strategic Studies 38/4 (2015), 529–53. DOI:10.1080/01402390.2014.971947 |Krazit, Tom, ‘How the US Air Force Deployed Kubernetes and Istio on an F-16 in 45 Days’, The New Stack, 24 Dec. 2019, https://thenewstack.io/how-the-u-s-air-force-deployed-kubernetes-and-istio-on-an-f-16-in-45-days/|Lake, Daniel R., The Pursuit of Technological Superiority and the Shrinking American Military (New York, NY: Palgrave MacMillan 2019). |Lavelle, Sean, ‘The Navy’s Kessel Run’, US Naval Institute, 3 Jan. 2019, https://blog.usni.org/posts/2019/01/03/the-navys-kessel-run|Leonard, Herman, et al., ‘SOFWERX: Innovation at US Special Operations Command’, Harvard Business School Case 819–004, Jul. 2018. (Open in a new window)Google Scholar|Lindsay, Jon R., Information Technology and Military Power (Ithaca, NY: Cornell UP 2020). |Lofgren, Eric, ‘The Future of Navy Software Development with Lt. Sean Lavelle,’ Acquisition Talk (1 Apr. 2020). Audio. (Open in a new window)Google Scholar|Lofgren, Eric, ‘The Last Frontier of Acquisition Reform: The Budget Process’, Conference Paper, Proceedings of the Seventeenth Annual Acquisition Research Symposium, 13-14 May 2020. Prepared for the Naval Postgraduate School, Monterey, CA. (Open in a new window)Google Scholar|Mabus, Ray, ‘Harnessing the Navy’s Culture of Innovation’, Naval Science and Technology Future Force Magazine, 7 Apr. 2015, https://futureforce.navylive.dodlive.mil/2015/04/harnessing-the-navys-culture-of-innovation/|Magnuson, Stew, ‘AUSA NEWS: Army Futures Command Breaking Down Barriers’, National Defense Magazine, 16 Oct. 2019, https://www.nationaldefensemagazine.org/articles/2019/10/16/army-futures-command-breaking-down-barriers|</v>
      </c>
    </row>
    <row r="51" customFormat="false" ht="124.6" hidden="false" customHeight="false" outlineLevel="0" collapsed="false">
      <c r="A51" s="4" t="s">
        <v>114</v>
      </c>
      <c r="B51" s="3" t="s">
        <v>115</v>
      </c>
      <c r="C51" s="0" t="str">
        <f aca="false">B51&amp;"|"</f>
        <v>Mahnken, Thomas G., Technology and the American Way of War since 1945 (New York, NY: Columbia UP 2008). (Open in a new window)Google Scholar|</v>
      </c>
      <c r="D51" s="0" t="str">
        <f aca="false">D50&amp;C51</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|Cote, Owen Reid, Jr., ‘The Politics of Innovative Military Doctrine: The US Navy and Fleet Ballistic Missiles’, Doctoral dissertation, Massachusetts Institute of Technology, Feb. 1996. (Open in a new window)Google Scholar|Cronin, Audrey Kurth, Power to the People: How Open Technological Innovation Is Arming Tomorrow’s Terrorists (Oxford: Oxford UP 2020). (Open in a new window)Google Scholar|Department of the Navy, ‘Unmanned Campaign Network’, 16 Mar. 2021, https://www.navy.mil/Portals/1/Strategic/20210315%20Unmanned%20Campaign_Final_LowRes.pdf?ver=LtCZ-BPlWki6vCBTdgtDMA%3D%3D|DiNapoli, Timothy J., ‘DOD’s Use of Other Transactions for Prototype Projects Has Increased’, Government Accountability Office GAO-20–84, Nov. 2019, https://www.gao.gov/assets/710/702861.pdf|Dunn, Richard L., ‘Other Transactions Contracts: Poorly Understood, Little Used’, National Defense Magazine, 15 May 2017, https://www.nationaldefensemagazine.org/articles/2017/5/15/other-transactions-contracts-poorly-understood-little-used|Easley, Matthew P., ‘Army Artificial Intelligence Task Force (AI-TF)’, US Army Futures Command (2019). https://www.clsac.org/uploads/5/0/6/3/50633811/2019-easley-aiml.pdf|Eckhardt, Jonathan T., Michael P. Ciuchta, and Mason Carpenter, ‘Open Innovation, Information, and Entrepreneurship within Platform Ecosystems’, Strategic Entrepreneurship Journal 12 (2018), 369–91. DOI:10.1002/sej.1298 |Eckstein, Megan, ‘Marine Corps Information Community Growing in Capability, Trying to Find Its Place in Joint Operations’, USNI News, 7 Jan. 2020, https://news.usni.org/2020/01/07/marine-corps-information-community-growing-in-capability-trying-to-find-its-place-in-joint-operations|Eversden, Andrew, ‘The Army AI Task Force Takes on Two ‘Key’ Projects’, C4ISRnet, 10 Jun. 2020, https://www.c4isrnet.com/artificial-intelligence/2020/06/10/the-army-ai-task-force-takes-on-two-key-projects/|Farrell, Theo, Sten Rynning, and Terry Terriff, Transforming Military Power since the Cold War: Britain, France, and the United States, 1991–2012 (Cambridge, UK: Cambridge UP 2013). |Feickert, Andrew and Brendan W. McGarry, ‘The Army’s Modernization Strategy: Congressional Oversight Considerations’, Congressional Research Service, 7 Feb. 2020, https://www.everycrsreport.com/files/20200207_R46216_444d93a212c95fd2fba1a596d520ca263a833307.pdf|Feickert, Andrew, ‘The Army’s Future Combat System (FCS): Background and Issues for Congress’, Congressional Research Services, 5 May 2006, https://www.everycrsreport.com/files/20060505_RL32888_bd0c5e4691669243ba6aacea43a6ce91c182246e.pdf|Fiott, Daniel, ‘A Revolution Too Far? US Defence Innovation, Europe and NATO’s Military-Technological Gap’, Journal of Strategic Studies 40/3 (2017), 417–37. DOI:10.1080/01402390.2016.1176565 |Gansler, Jacques, Democracy’s Arsenal: Creating a Twenty-First Century Defense Industry (Cambridge, MA: MIT UP 2011). |Geurts, James F., ‘The Department of the Navy Fiscal Year 2020 Budget Request for Science and Technology Programs’, House Armed Services Committee, 28 Mar. 2019. https://armedservices.house.gov/_cache/files/c/4/c46d8d7f-cade-4487-bae0-f87943aa205e/5AD8EA25BA971C25EF67C083034A43F2.hhrg-116-as26-wstate-geurtsj-20190328.pdf|Gilli, Andrea and Mauro Gilli, ‘Why China Has Not Caught Up Yet: Military-Technological Superiority and the Limits of Imitation, Reverse Engineering, and Cyber Espionage’, International Security 43/3 ( Winter 2018/19), 141–89. DOI:10.1162/isec_a_00337 |Glavy, Matthew G. and Brett Goldstein, ‘The Battle for Mon Cala: Getting the Military to Deliver Its Own Tech Solutions’, War On The Rocks, 20 Aug. 2020, https://warontherocks.com/2020/08/the-battle-for-mon-cala-getting-the-military-to-deliver-its-own-tech-solutions/|Griffin, Stuart, ‘Military Innovation Studies: Multidisciplinary or Lacking Discipline?’, Journal of Strategic Studies 40/1/2 (2016), 196–224. DOI:10.1080/01402390.2016.1196358 |Grissom, Andrew, ‘The Future of Military Innovation Studies’, Journal of Strategic Studies 29/5 (Oct. 2006), 905–34. DOI:10.1080/01402390600901067. |Haduch, Thomas W., ‘Maintaining the US Army Research, Development and Engineering Command Prototype Integration Facilities’, Defense Acquisition University Press. May 2014, https://www.dau.edu/training/career-development/sscf/Documents/T.%20HaduchSSCF2014SRPOPSECFINAL.pdf|Harper, Jon, ‘Army to Release New Wish List for Optionally Manned Fighting Vehicle’, National Defense Magazine, 19 Feb. 2020, https://www.nationaldefensemagazine.org/articles/2020/2/19/army-to-release-new-wish-list-for-optionally-manned-fighting-vehicle|Horowitz, Michael C., The Diffusion of Military Power: Causes and Consequences for International Politics (Princeton, NJ: Princeton UP 2010). |Horowitz, Michael, ‘Artificial Intelligence, International Competition, and the Balance of Power’, Texas National Security Review 1/3 (May 2018), 36–57. https://tnsr.org/2018/05/artificial-intelligence-international-competition-and-the-balance-of-power/|Kaeser, Hans Ulrich, ‘The Future Combat System: What Future Can The Army Afford?’, Center for Strategic and International Studies, 5 Feb. 2009. Working draft, https://csis-website-prod.s3.amazonaws.com/s3fs-public/legacy_files/files/media/csis/pubs/090205_fcsarmy.pdf|Kenyon, Henry, ‘Rapid App Response: Marines to Embed Development Teams with Deployed Units’, GCN, 6 Feb. 2012, https://gcn.com/articles/2012/02/06/marine-corps-apps-embedded-development-teams.aspx|Kleinholz, Joshua, ‘AFwerX Vegas Opens New Doors to Innovation’, Air Combat Command, 23 Aug. 2017, https://www.acc.af.mil/News/Article-Display/Article/1288094/afwerx-vegas-opens-new-doors-to-innovation/|Kollars, Nina A., ‘War’s Horizon: Soldier-Led Adaptation in Iraq and Vietnam’, Journal of Strategic Studies 38/4 (2015), 529–53. DOI:10.1080/01402390.2014.971947 |Krazit, Tom, ‘How the US Air Force Deployed Kubernetes and Istio on an F-16 in 45 Days’, The New Stack, 24 Dec. 2019, https://thenewstack.io/how-the-u-s-air-force-deployed-kubernetes-and-istio-on-an-f-16-in-45-days/|Lake, Daniel R., The Pursuit of Technological Superiority and the Shrinking American Military (New York, NY: Palgrave MacMillan 2019). |Lavelle, Sean, ‘The Navy’s Kessel Run’, US Naval Institute, 3 Jan. 2019, https://blog.usni.org/posts/2019/01/03/the-navys-kessel-run|Leonard, Herman, et al., ‘SOFWERX: Innovation at US Special Operations Command’, Harvard Business School Case 819–004, Jul. 2018. (Open in a new window)Google Scholar|Lindsay, Jon R., Information Technology and Military Power (Ithaca, NY: Cornell UP 2020). |Lofgren, Eric, ‘The Future of Navy Software Development with Lt. Sean Lavelle,’ Acquisition Talk (1 Apr. 2020). Audio. (Open in a new window)Google Scholar|Lofgren, Eric, ‘The Last Frontier of Acquisition Reform: The Budget Process’, Conference Paper, Proceedings of the Seventeenth Annual Acquisition Research Symposium, 13-14 May 2020. Prepared for the Naval Postgraduate School, Monterey, CA. (Open in a new window)Google Scholar|Mabus, Ray, ‘Harnessing the Navy’s Culture of Innovation’, Naval Science and Technology Future Force Magazine, 7 Apr. 2015, https://futureforce.navylive.dodlive.mil/2015/04/harnessing-the-navys-culture-of-innovation/|Magnuson, Stew, ‘AUSA NEWS: Army Futures Command Breaking Down Barriers’, National Defense Magazine, 16 Oct. 2019, https://www.nationaldefensemagazine.org/articles/2019/10/16/army-futures-command-breaking-down-barriers|Mahnken, Thomas G., Technology and the American Way of War since 1945 (New York, NY: Columbia UP 2008). (Open in a new window)Google Scholar|</v>
      </c>
    </row>
    <row r="52" customFormat="false" ht="124.6" hidden="false" customHeight="false" outlineLevel="0" collapsed="false">
      <c r="A52" s="4" t="s">
        <v>116</v>
      </c>
      <c r="B52" s="3" t="s">
        <v>116</v>
      </c>
      <c r="C52" s="0" t="str">
        <f aca="false">B52&amp;"|"</f>
        <v>Mansoor, Peter R. and Williamson Murray, (eds.), The Culture of Military Organizations (Cambridge: UK: Cambridge UP 2019). |</v>
      </c>
      <c r="D52" s="0" t="str">
        <f aca="false">D51&amp;C52</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|Cote, Owen Reid, Jr., ‘The Politics of Innovative Military Doctrine: The US Navy and Fleet Ballistic Missiles’, Doctoral dissertation, Massachusetts Institute of Technology, Feb. 1996. (Open in a new window)Google Scholar|Cronin, Audrey Kurth, Power to the People: How Open Technological Innovation Is Arming Tomorrow’s Terrorists (Oxford: Oxford UP 2020). (Open in a new window)Google Scholar|Department of the Navy, ‘Unmanned Campaign Network’, 16 Mar. 2021, https://www.navy.mil/Portals/1/Strategic/20210315%20Unmanned%20Campaign_Final_LowRes.pdf?ver=LtCZ-BPlWki6vCBTdgtDMA%3D%3D|DiNapoli, Timothy J., ‘DOD’s Use of Other Transactions for Prototype Projects Has Increased’, Government Accountability Office GAO-20–84, Nov. 2019, https://www.gao.gov/assets/710/702861.pdf|Dunn, Richard L., ‘Other Transactions Contracts: Poorly Understood, Little Used’, National Defense Magazine, 15 May 2017, https://www.nationaldefensemagazine.org/articles/2017/5/15/other-transactions-contracts-poorly-understood-little-used|Easley, Matthew P., ‘Army Artificial Intelligence Task Force (AI-TF)’, US Army Futures Command (2019). https://www.clsac.org/uploads/5/0/6/3/50633811/2019-easley-aiml.pdf|Eckhardt, Jonathan T., Michael P. Ciuchta, and Mason Carpenter, ‘Open Innovation, Information, and Entrepreneurship within Platform Ecosystems’, Strategic Entrepreneurship Journal 12 (2018), 369–91. DOI:10.1002/sej.1298 |Eckstein, Megan, ‘Marine Corps Information Community Growing in Capability, Trying to Find Its Place in Joint Operations’, USNI News, 7 Jan. 2020, https://news.usni.org/2020/01/07/marine-corps-information-community-growing-in-capability-trying-to-find-its-place-in-joint-operations|Eversden, Andrew, ‘The Army AI Task Force Takes on Two ‘Key’ Projects’, C4ISRnet, 10 Jun. 2020, https://www.c4isrnet.com/artificial-intelligence/2020/06/10/the-army-ai-task-force-takes-on-two-key-projects/|Farrell, Theo, Sten Rynning, and Terry Terriff, Transforming Military Power since the Cold War: Britain, France, and the United States, 1991–2012 (Cambridge, UK: Cambridge UP 2013). |Feickert, Andrew and Brendan W. McGarry, ‘The Army’s Modernization Strategy: Congressional Oversight Considerations’, Congressional Research Service, 7 Feb. 2020, https://www.everycrsreport.com/files/20200207_R46216_444d93a212c95fd2fba1a596d520ca263a833307.pdf|Feickert, Andrew, ‘The Army’s Future Combat System (FCS): Background and Issues for Congress’, Congressional Research Services, 5 May 2006, https://www.everycrsreport.com/files/20060505_RL32888_bd0c5e4691669243ba6aacea43a6ce91c182246e.pdf|Fiott, Daniel, ‘A Revolution Too Far? US Defence Innovation, Europe and NATO’s Military-Technological Gap’, Journal of Strategic Studies 40/3 (2017), 417–37. DOI:10.1080/01402390.2016.1176565 |Gansler, Jacques, Democracy’s Arsenal: Creating a Twenty-First Century Defense Industry (Cambridge, MA: MIT UP 2011). |Geurts, James F., ‘The Department of the Navy Fiscal Year 2020 Budget Request for Science and Technology Programs’, House Armed Services Committee, 28 Mar. 2019. https://armedservices.house.gov/_cache/files/c/4/c46d8d7f-cade-4487-bae0-f87943aa205e/5AD8EA25BA971C25EF67C083034A43F2.hhrg-116-as26-wstate-geurtsj-20190328.pdf|Gilli, Andrea and Mauro Gilli, ‘Why China Has Not Caught Up Yet: Military-Technological Superiority and the Limits of Imitation, Reverse Engineering, and Cyber Espionage’, International Security 43/3 ( Winter 2018/19), 141–89. DOI:10.1162/isec_a_00337 |Glavy, Matthew G. and Brett Goldstein, ‘The Battle for Mon Cala: Getting the Military to Deliver Its Own Tech Solutions’, War On The Rocks, 20 Aug. 2020, https://warontherocks.com/2020/08/the-battle-for-mon-cala-getting-the-military-to-deliver-its-own-tech-solutions/|Griffin, Stuart, ‘Military Innovation Studies: Multidisciplinary or Lacking Discipline?’, Journal of Strategic Studies 40/1/2 (2016), 196–224. DOI:10.1080/01402390.2016.1196358 |Grissom, Andrew, ‘The Future of Military Innovation Studies’, Journal of Strategic Studies 29/5 (Oct. 2006), 905–34. DOI:10.1080/01402390600901067. |Haduch, Thomas W., ‘Maintaining the US Army Research, Development and Engineering Command Prototype Integration Facilities’, Defense Acquisition University Press. May 2014, https://www.dau.edu/training/career-development/sscf/Documents/T.%20HaduchSSCF2014SRPOPSECFINAL.pdf|Harper, Jon, ‘Army to Release New Wish List for Optionally Manned Fighting Vehicle’, National Defense Magazine, 19 Feb. 2020, https://www.nationaldefensemagazine.org/articles/2020/2/19/army-to-release-new-wish-list-for-optionally-manned-fighting-vehicle|Horowitz, Michael C., The Diffusion of Military Power: Causes and Consequences for International Politics (Princeton, NJ: Princeton UP 2010). |Horowitz, Michael, ‘Artificial Intelligence, International Competition, and the Balance of Power’, Texas National Security Review 1/3 (May 2018), 36–57. https://tnsr.org/2018/05/artificial-intelligence-international-competition-and-the-balance-of-power/|Kaeser, Hans Ulrich, ‘The Future Combat System: What Future Can The Army Afford?’, Center for Strategic and International Studies, 5 Feb. 2009. Working draft, https://csis-website-prod.s3.amazonaws.com/s3fs-public/legacy_files/files/media/csis/pubs/090205_fcsarmy.pdf|Kenyon, Henry, ‘Rapid App Response: Marines to Embed Development Teams with Deployed Units’, GCN, 6 Feb. 2012, https://gcn.com/articles/2012/02/06/marine-corps-apps-embedded-development-teams.aspx|Kleinholz, Joshua, ‘AFwerX Vegas Opens New Doors to Innovation’, Air Combat Command, 23 Aug. 2017, https://www.acc.af.mil/News/Article-Display/Article/1288094/afwerx-vegas-opens-new-doors-to-innovation/|Kollars, Nina A., ‘War’s Horizon: Soldier-Led Adaptation in Iraq and Vietnam’, Journal of Strategic Studies 38/4 (2015), 529–53. DOI:10.1080/01402390.2014.971947 |Krazit, Tom, ‘How the US Air Force Deployed Kubernetes and Istio on an F-16 in 45 Days’, The New Stack, 24 Dec. 2019, https://thenewstack.io/how-the-u-s-air-force-deployed-kubernetes-and-istio-on-an-f-16-in-45-days/|Lake, Daniel R., The Pursuit of Technological Superiority and the Shrinking American Military (New York, NY: Palgrave MacMillan 2019). |Lavelle, Sean, ‘The Navy’s Kessel Run’, US Naval Institute, 3 Jan. 2019, https://blog.usni.org/posts/2019/01/03/the-navys-kessel-run|Leonard, Herman, et al., ‘SOFWERX: Innovation at US Special Operations Command’, Harvard Business School Case 819–004, Jul. 2018. (Open in a new window)Google Scholar|Lindsay, Jon R., Information Technology and Military Power (Ithaca, NY: Cornell UP 2020). |Lofgren, Eric, ‘The Future of Navy Software Development with Lt. Sean Lavelle,’ Acquisition Talk (1 Apr. 2020). Audio. (Open in a new window)Google Scholar|Lofgren, Eric, ‘The Last Frontier of Acquisition Reform: The Budget Process’, Conference Paper, Proceedings of the Seventeenth Annual Acquisition Research Symposium, 13-14 May 2020. Prepared for the Naval Postgraduate School, Monterey, CA. (Open in a new window)Google Scholar|Mabus, Ray, ‘Harnessing the Navy’s Culture of Innovation’, Naval Science and Technology Future Force Magazine, 7 Apr. 2015, https://futureforce.navylive.dodlive.mil/2015/04/harnessing-the-navys-culture-of-innovation/|Magnuson, Stew, ‘AUSA NEWS: Army Futures Command Breaking Down Barriers’, National Defense Magazine, 16 Oct. 2019, https://www.nationaldefensemagazine.org/articles/2019/10/16/army-futures-command-breaking-down-barriers|Mahnken, Thomas G., Technology and the American Way of War since 1945 (New York, NY: Columbia UP 2008). (Open in a new window)Google Scholar|Mansoor, Peter R. and Williamson Murray, (eds.), The Culture of Military Organizations (Cambridge: UK: Cambridge UP 2019). |</v>
      </c>
    </row>
    <row r="53" customFormat="false" ht="158.2" hidden="false" customHeight="false" outlineLevel="0" collapsed="false">
      <c r="A53" s="4" t="s">
        <v>117</v>
      </c>
      <c r="B53" s="3" t="s">
        <v>118</v>
      </c>
      <c r="C53" s="0" t="str">
        <f aca="false">B53&amp;"|"</f>
        <v>Mayfield, Mandy, ‘Army Futures Command Establishes “Software Factory”’, National Defense Magazine, 21 Aug. 2020, https://www.nationaldefensemagazine.org/articles/2020/8/21/army-futures-command-establishes-software-factory|</v>
      </c>
      <c r="D53" s="0" t="str">
        <f aca="false">D52&amp;C53</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|Cote, Owen Reid, Jr., ‘The Politics of Innovative Military Doctrine: The US Navy and Fleet Ballistic Missiles’, Doctoral dissertation, Massachusetts Institute of Technology, Feb. 1996. (Open in a new window)Google Scholar|Cronin, Audrey Kurth, Power to the People: How Open Technological Innovation Is Arming Tomorrow’s Terrorists (Oxford: Oxford UP 2020). (Open in a new window)Google Scholar|Department of the Navy, ‘Unmanned Campaign Network’, 16 Mar. 2021, https://www.navy.mil/Portals/1/Strategic/20210315%20Unmanned%20Campaign_Final_LowRes.pdf?ver=LtCZ-BPlWki6vCBTdgtDMA%3D%3D|DiNapoli, Timothy J., ‘DOD’s Use of Other Transactions for Prototype Projects Has Increased’, Government Accountability Office GAO-20–84, Nov. 2019, https://www.gao.gov/assets/710/702861.pdf|Dunn, Richard L., ‘Other Transactions Contracts: Poorly Understood, Little Used’, National Defense Magazine, 15 May 2017, https://www.nationaldefensemagazine.org/articles/2017/5/15/other-transactions-contracts-poorly-understood-little-used|Easley, Matthew P., ‘Army Artificial Intelligence Task Force (AI-TF)’, US Army Futures Command (2019). https://www.clsac.org/uploads/5/0/6/3/50633811/2019-easley-aiml.pdf|Eckhardt, Jonathan T., Michael P. Ciuchta, and Mason Carpenter, ‘Open Innovation, Information, and Entrepreneurship within Platform Ecosystems’, Strategic Entrepreneurship Journal 12 (2018), 369–91. DOI:10.1002/sej.1298 |Eckstein, Megan, ‘Marine Corps Information Community Growing in Capability, Trying to Find Its Place in Joint Operations’, USNI News, 7 Jan. 2020, https://news.usni.org/2020/01/07/marine-corps-information-community-growing-in-capability-trying-to-find-its-place-in-joint-operations|Eversden, Andrew, ‘The Army AI Task Force Takes on Two ‘Key’ Projects’, C4ISRnet, 10 Jun. 2020, https://www.c4isrnet.com/artificial-intelligence/2020/06/10/the-army-ai-task-force-takes-on-two-key-projects/|Farrell, Theo, Sten Rynning, and Terry Terriff, Transforming Military Power since the Cold War: Britain, France, and the United States, 1991–2012 (Cambridge, UK: Cambridge UP 2013). |Feickert, Andrew and Brendan W. McGarry, ‘The Army’s Modernization Strategy: Congressional Oversight Considerations’, Congressional Research Service, 7 Feb. 2020, https://www.everycrsreport.com/files/20200207_R46216_444d93a212c95fd2fba1a596d520ca263a833307.pdf|Feickert, Andrew, ‘The Army’s Future Combat System (FCS): Background and Issues for Congress’, Congressional Research Services, 5 May 2006, https://www.everycrsreport.com/files/20060505_RL32888_bd0c5e4691669243ba6aacea43a6ce91c182246e.pdf|Fiott, Daniel, ‘A Revolution Too Far? US Defence Innovation, Europe and NATO’s Military-Technological Gap’, Journal of Strategic Studies 40/3 (2017), 417–37. DOI:10.1080/01402390.2016.1176565 |Gansler, Jacques, Democracy’s Arsenal: Creating a Twenty-First Century Defense Industry (Cambridge, MA: MIT UP 2011). |Geurts, James F., ‘The Department of the Navy Fiscal Year 2020 Budget Request for Science and Technology Programs’, House Armed Services Committee, 28 Mar. 2019. https://armedservices.house.gov/_cache/files/c/4/c46d8d7f-cade-4487-bae0-f87943aa205e/5AD8EA25BA971C25EF67C083034A43F2.hhrg-116-as26-wstate-geurtsj-20190328.pdf|Gilli, Andrea and Mauro Gilli, ‘Why China Has Not Caught Up Yet: Military-Technological Superiority and the Limits of Imitation, Reverse Engineering, and Cyber Espionage’, International Security 43/3 ( Winter 2018/19), 141–89. DOI:10.1162/isec_a_00337 |Glavy, Matthew G. and Brett Goldstein, ‘The Battle for Mon Cala: Getting the Military to Deliver Its Own Tech Solutions’, War On The Rocks, 20 Aug. 2020, https://warontherocks.com/2020/08/the-battle-for-mon-cala-getting-the-military-to-deliver-its-own-tech-solutions/|Griffin, Stuart, ‘Military Innovation Studies: Multidisciplinary or Lacking Discipline?’, Journal of Strategic Studies 40/1/2 (2016), 196–224. DOI:10.1080/01402390.2016.1196358 |Grissom, Andrew, ‘The Future of Military Innovation Studies’, Journal of Strategic Studies 29/5 (Oct. 2006), 905–34. DOI:10.1080/01402390600901067. |Haduch, Thomas W., ‘Maintaining the US Army Research, Development and Engineering Command Prototype Integration Facilities’, Defense Acquisition University Press. May 2014, https://www.dau.edu/training/career-development/sscf/Documents/T.%20HaduchSSCF2014SRPOPSECFINAL.pdf|Harper, Jon, ‘Army to Release New Wish List for Optionally Manned Fighting Vehicle’, National Defense Magazine, 19 Feb. 2020, https://www.nationaldefensemagazine.org/articles/2020/2/19/army-to-release-new-wish-list-for-optionally-manned-fighting-vehicle|Horowitz, Michael C., The Diffusion of Military Power: Causes and Consequences for International Politics (Princeton, NJ: Princeton UP 2010). |Horowitz, Michael, ‘Artificial Intelligence, International Competition, and the Balance of Power’, Texas National Security Review 1/3 (May 2018), 36–57. https://tnsr.org/2018/05/artificial-intelligence-international-competition-and-the-balance-of-power/|Kaeser, Hans Ulrich, ‘The Future Combat System: What Future Can The Army Afford?’, Center for Strategic and International Studies, 5 Feb. 2009. Working draft, https://csis-website-prod.s3.amazonaws.com/s3fs-public/legacy_files/files/media/csis/pubs/090205_fcsarmy.pdf|Kenyon, Henry, ‘Rapid App Response: Marines to Embed Development Teams with Deployed Units’, GCN, 6 Feb. 2012, https://gcn.com/articles/2012/02/06/marine-corps-apps-embedded-development-teams.aspx|Kleinholz, Joshua, ‘AFwerX Vegas Opens New Doors to Innovation’, Air Combat Command, 23 Aug. 2017, https://www.acc.af.mil/News/Article-Display/Article/1288094/afwerx-vegas-opens-new-doors-to-innovation/|Kollars, Nina A., ‘War’s Horizon: Soldier-Led Adaptation in Iraq and Vietnam’, Journal of Strategic Studies 38/4 (2015), 529–53. DOI:10.1080/01402390.2014.971947 |Krazit, Tom, ‘How the US Air Force Deployed Kubernetes and Istio on an F-16 in 45 Days’, The New Stack, 24 Dec. 2019, https://thenewstack.io/how-the-u-s-air-force-deployed-kubernetes-and-istio-on-an-f-16-in-45-days/|Lake, Daniel R., The Pursuit of Technological Superiority and the Shrinking American Military (New York, NY: Palgrave MacMillan 2019). |Lavelle, Sean, ‘The Navy’s Kessel Run’, US Naval Institute, 3 Jan. 2019, https://blog.usni.org/posts/2019/01/03/the-navys-kessel-run|Leonard, Herman, et al., ‘SOFWERX: Innovation at US Special Operations Command’, Harvard Business School Case 819–004, Jul. 2018. (Open in a new window)Google Scholar|Lindsay, Jon R., Information Technology and Military Power (Ithaca, NY: Cornell UP 2020). |Lofgren, Eric, ‘The Future of Navy Software Development with Lt. Sean Lavelle,’ Acquisition Talk (1 Apr. 2020). Audio. (Open in a new window)Google Scholar|Lofgren, Eric, ‘The Last Frontier of Acquisition Reform: The Budget Process’, Conference Paper, Proceedings of the Seventeenth Annual Acquisition Research Symposium, 13-14 May 2020. Prepared for the Naval Postgraduate School, Monterey, CA. (Open in a new window)Google Scholar|Mabus, Ray, ‘Harnessing the Navy’s Culture of Innovation’, Naval Science and Technology Future Force Magazine, 7 Apr. 2015, https://futureforce.navylive.dodlive.mil/2015/04/harnessing-the-navys-culture-of-innovation/|Magnuson, Stew, ‘AUSA NEWS: Army Futures Command Breaking Down Barriers’, National Defense Magazine, 16 Oct. 2019, https://www.nationaldefensemagazine.org/articles/2019/10/16/army-futures-command-breaking-down-barriers|Mahnken, Thomas G., Technology and the American Way of War since 1945 (New York, NY: Columbia UP 2008). (Open in a new window)Google Scholar|Mansoor, Peter R. and Williamson Murray, (eds.), The Culture of Military Organizations (Cambridge: UK: Cambridge UP 2019). |Mayfield, Mandy, ‘Army Futures Command Establishes “Software Factory”’, National Defense Magazine, 21 Aug. 2020, https://www.nationaldefensemagazine.org/articles/2020/8/21/army-futures-command-establishes-software-factory|</v>
      </c>
    </row>
    <row r="54" customFormat="false" ht="180.55" hidden="false" customHeight="false" outlineLevel="0" collapsed="false">
      <c r="A54" s="4" t="s">
        <v>119</v>
      </c>
      <c r="B54" s="3" t="s">
        <v>120</v>
      </c>
      <c r="C54" s="0" t="str">
        <f aca="false">B54&amp;"|"</f>
        <v>McCain, John, ‘Opening Statement by SASC Chairman John McCain at Hearing on DoD Nominations’, Office of Senator John McCain, 14 Nov. 2017, https://www.mccain.senate.gov/public/index.cfm/floor-statements?ID=05DCC73A-F9F2-44E8-A75F-236003222AF2|</v>
      </c>
      <c r="D54" s="0" t="str">
        <f aca="false">D53&amp;C54</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|Cote, Owen Reid, Jr., ‘The Politics of Innovative Military Doctrine: The US Navy and Fleet Ballistic Missiles’, Doctoral dissertation, Massachusetts Institute of Technology, Feb. 1996. (Open in a new window)Google Scholar|Cronin, Audrey Kurth, Power to the People: How Open Technological Innovation Is Arming Tomorrow’s Terrorists (Oxford: Oxford UP 2020). (Open in a new window)Google Scholar|Department of the Navy, ‘Unmanned Campaign Network’, 16 Mar. 2021, https://www.navy.mil/Portals/1/Strategic/20210315%20Unmanned%20Campaign_Final_LowRes.pdf?ver=LtCZ-BPlWki6vCBTdgtDMA%3D%3D|DiNapoli, Timothy J., ‘DOD’s Use of Other Transactions for Prototype Projects Has Increased’, Government Accountability Office GAO-20–84, Nov. 2019, https://www.gao.gov/assets/710/702861.pdf|Dunn, Richard L., ‘Other Transactions Contracts: Poorly Understood, Little Used’, National Defense Magazine, 15 May 2017, https://www.nationaldefensemagazine.org/articles/2017/5/15/other-transactions-contracts-poorly-understood-little-used|Easley, Matthew P., ‘Army Artificial Intelligence Task Force (AI-TF)’, US Army Futures Command (2019). https://www.clsac.org/uploads/5/0/6/3/50633811/2019-easley-aiml.pdf|Eckhardt, Jonathan T., Michael P. Ciuchta, and Mason Carpenter, ‘Open Innovation, Information, and Entrepreneurship within Platform Ecosystems’, Strategic Entrepreneurship Journal 12 (2018), 369–91. DOI:10.1002/sej.1298 |Eckstein, Megan, ‘Marine Corps Information Community Growing in Capability, Trying to Find Its Place in Joint Operations’, USNI News, 7 Jan. 2020, https://news.usni.org/2020/01/07/marine-corps-information-community-growing-in-capability-trying-to-find-its-place-in-joint-operations|Eversden, Andrew, ‘The Army AI Task Force Takes on Two ‘Key’ Projects’, C4ISRnet, 10 Jun. 2020, https://www.c4isrnet.com/artificial-intelligence/2020/06/10/the-army-ai-task-force-takes-on-two-key-projects/|Farrell, Theo, Sten Rynning, and Terry Terriff, Transforming Military Power since the Cold War: Britain, France, and the United States, 1991–2012 (Cambridge, UK: Cambridge UP 2013). |Feickert, Andrew and Brendan W. McGarry, ‘The Army’s Modernization Strategy: Congressional Oversight Considerations’, Congressional Research Service, 7 Feb. 2020, https://www.everycrsreport.com/files/20200207_R46216_444d93a212c95fd2fba1a596d520ca263a833307.pdf|Feickert, Andrew, ‘The Army’s Future Combat System (FCS): Background and Issues for Congress’, Congressional Research Services, 5 May 2006, https://www.everycrsreport.com/files/20060505_RL32888_bd0c5e4691669243ba6aacea43a6ce91c182246e.pdf|Fiott, Daniel, ‘A Revolution Too Far? US Defence Innovation, Europe and NATO’s Military-Technological Gap’, Journal of Strategic Studies 40/3 (2017), 417–37. DOI:10.1080/01402390.2016.1176565 |Gansler, Jacques, Democracy’s Arsenal: Creating a Twenty-First Century Defense Industry (Cambridge, MA: MIT UP 2011). |Geurts, James F., ‘The Department of the Navy Fiscal Year 2020 Budget Request for Science and Technology Programs’, House Armed Services Committee, 28 Mar. 2019. https://armedservices.house.gov/_cache/files/c/4/c46d8d7f-cade-4487-bae0-f87943aa205e/5AD8EA25BA971C25EF67C083034A43F2.hhrg-116-as26-wstate-geurtsj-20190328.pdf|Gilli, Andrea and Mauro Gilli, ‘Why China Has Not Caught Up Yet: Military-Technological Superiority and the Limits of Imitation, Reverse Engineering, and Cyber Espionage’, International Security 43/3 ( Winter 2018/19), 141–89. DOI:10.1162/isec_a_00337 |Glavy, Matthew G. and Brett Goldstein, ‘The Battle for Mon Cala: Getting the Military to Deliver Its Own Tech Solutions’, War On The Rocks, 20 Aug. 2020, https://warontherocks.com/2020/08/the-battle-for-mon-cala-getting-the-military-to-deliver-its-own-tech-solutions/|Griffin, Stuart, ‘Military Innovation Studies: Multidisciplinary or Lacking Discipline?’, Journal of Strategic Studies 40/1/2 (2016), 196–224. DOI:10.1080/01402390.2016.1196358 |Grissom, Andrew, ‘The Future of Military Innovation Studies’, Journal of Strategic Studies 29/5 (Oct. 2006), 905–34. DOI:10.1080/01402390600901067. |Haduch, Thomas W., ‘Maintaining the US Army Research, Development and Engineering Command Prototype Integration Facilities’, Defense Acquisition University Press. May 2014, https://www.dau.edu/training/career-development/sscf/Documents/T.%20HaduchSSCF2014SRPOPSECFINAL.pdf|Harper, Jon, ‘Army to Release New Wish List for Optionally Manned Fighting Vehicle’, National Defense Magazine, 19 Feb. 2020, https://www.nationaldefensemagazine.org/articles/2020/2/19/army-to-release-new-wish-list-for-optionally-manned-fighting-vehicle|Horowitz, Michael C., The Diffusion of Military Power: Causes and Consequences for International Politics (Princeton, NJ: Princeton UP 2010). |Horowitz, Michael, ‘Artificial Intelligence, International Competition, and the Balance of Power’, Texas National Security Review 1/3 (May 2018), 36–57. https://tnsr.org/2018/05/artificial-intelligence-international-competition-and-the-balance-of-power/|Kaeser, Hans Ulrich, ‘The Future Combat System: What Future Can The Army Afford?’, Center for Strategic and International Studies, 5 Feb. 2009. Working draft, https://csis-website-prod.s3.amazonaws.com/s3fs-public/legacy_files/files/media/csis/pubs/090205_fcsarmy.pdf|Kenyon, Henry, ‘Rapid App Response: Marines to Embed Development Teams with Deployed Units’, GCN, 6 Feb. 2012, https://gcn.com/articles/2012/02/06/marine-corps-apps-embedded-development-teams.aspx|Kleinholz, Joshua, ‘AFwerX Vegas Opens New Doors to Innovation’, Air Combat Command, 23 Aug. 2017, https://www.acc.af.mil/News/Article-Display/Article/1288094/afwerx-vegas-opens-new-doors-to-innovation/|Kollars, Nina A., ‘War’s Horizon: Soldier-Led Adaptation in Iraq and Vietnam’, Journal of Strategic Studies 38/4 (2015), 529–53. DOI:10.1080/01402390.2014.971947 |Krazit, Tom, ‘How the US Air Force Deployed Kubernetes and Istio on an F-16 in 45 Days’, The New Stack, 24 Dec. 2019, https://thenewstack.io/how-the-u-s-air-force-deployed-kubernetes-and-istio-on-an-f-16-in-45-days/|Lake, Daniel R., The Pursuit of Technological Superiority and the Shrinking American Military (New York, NY: Palgrave MacMillan 2019). |Lavelle, Sean, ‘The Navy’s Kessel Run’, US Naval Institute, 3 Jan. 2019, https://blog.usni.org/posts/2019/01/03/the-navys-kessel-run|Leonard, Herman, et al., ‘SOFWERX: Innovation at US Special Operations Command’, Harvard Business School Case 819–004, Jul. 2018. (Open in a new window)Google Scholar|Lindsay, Jon R., Information Technology and Military Power (Ithaca, NY: Cornell UP 2020). |Lofgren, Eric, ‘The Future of Navy Software Development with Lt. Sean Lavelle,’ Acquisition Talk (1 Apr. 2020). Audio. (Open in a new window)Google Scholar|Lofgren, Eric, ‘The Last Frontier of Acquisition Reform: The Budget Process’, Conference Paper, Proceedings of the Seventeenth Annual Acquisition Research Symposium, 13-14 May 2020. Prepared for the Naval Postgraduate School, Monterey, CA. (Open in a new window)Google Scholar|Mabus, Ray, ‘Harnessing the Navy’s Culture of Innovation’, Naval Science and Technology Future Force Magazine, 7 Apr. 2015, https://futureforce.navylive.dodlive.mil/2015/04/harnessing-the-navys-culture-of-innovation/|Magnuson, Stew, ‘AUSA NEWS: Army Futures Command Breaking Down Barriers’, National Defense Magazine, 16 Oct. 2019, https://www.nationaldefensemagazine.org/articles/2019/10/16/army-futures-command-breaking-down-barriers|Mahnken, Thomas G., Technology and the American Way of War since 1945 (New York, NY: Columbia UP 2008). (Open in a new window)Google Scholar|Mansoor, Peter R. and Williamson Murray, (eds.), The Culture of Military Organizations (Cambridge: UK: Cambridge UP 2019). |Mayfield, Mandy, ‘Army Futures Command Establishes “Software Factory”’, National Defense Magazine, 21 Aug. 2020, https://www.nationaldefensemagazine.org/articles/2020/8/21/army-futures-command-establishes-software-factory|McCain, John, ‘Opening Statement by SASC Chairman John McCain at Hearing on DoD Nominations’, Office of Senator John McCain, 14 Nov. 2017, https://www.mccain.senate.gov/public/index.cfm/floor-statements?ID=05DCC73A-F9F2-44E8-A75F-236003222AF2|</v>
      </c>
    </row>
    <row r="55" customFormat="false" ht="191.75" hidden="false" customHeight="false" outlineLevel="0" collapsed="false">
      <c r="A55" s="4" t="s">
        <v>121</v>
      </c>
      <c r="B55" s="3" t="s">
        <v>122</v>
      </c>
      <c r="C55" s="0" t="str">
        <f aca="false">B55&amp;"|"</f>
        <v>McQuade, J. Michael et al., ‘Software Is Never Done: Refactoring the Acquisition Code for Competitive Advantage’, Defense Innovation Board, 3 May 2019, https://media.defense.gov/2019/May/01/2002126690/-1/-1/0/SWAP%20EXECUTIVE%20SUMMARY.PDF|</v>
      </c>
      <c r="D55" s="0" t="str">
        <f aca="false">D54&amp;C55</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|Cote, Owen Reid, Jr., ‘The Politics of Innovative Military Doctrine: The US Navy and Fleet Ballistic Missiles’, Doctoral dissertation, Massachusetts Institute of Technology, Feb. 1996. (Open in a new window)Google Scholar|Cronin, Audrey Kurth, Power to the People: How Open Technological Innovation Is Arming Tomorrow’s Terrorists (Oxford: Oxford UP 2020). (Open in a new window)Google Scholar|Department of the Navy, ‘Unmanned Campaign Network’, 16 Mar. 2021, https://www.navy.mil/Portals/1/Strategic/20210315%20Unmanned%20Campaign_Final_LowRes.pdf?ver=LtCZ-BPlWki6vCBTdgtDMA%3D%3D|DiNapoli, Timothy J., ‘DOD’s Use of Other Transactions for Prototype Projects Has Increased’, Government Accountability Office GAO-20–84, Nov. 2019, https://www.gao.gov/assets/710/702861.pdf|Dunn, Richard L., ‘Other Transactions Contracts: Poorly Understood, Little Used’, National Defense Magazine, 15 May 2017, https://www.nationaldefensemagazine.org/articles/2017/5/15/other-transactions-contracts-poorly-understood-little-used|Easley, Matthew P., ‘Army Artificial Intelligence Task Force (AI-TF)’, US Army Futures Command (2019). https://www.clsac.org/uploads/5/0/6/3/50633811/2019-easley-aiml.pdf|Eckhardt, Jonathan T., Michael P. Ciuchta, and Mason Carpenter, ‘Open Innovation, Information, and Entrepreneurship within Platform Ecosystems’, Strategic Entrepreneurship Journal 12 (2018), 369–91. DOI:10.1002/sej.1298 |Eckstein, Megan, ‘Marine Corps Information Community Growing in Capability, Trying to Find Its Place in Joint Operations’, USNI News, 7 Jan. 2020, https://news.usni.org/2020/01/07/marine-corps-information-community-growing-in-capability-trying-to-find-its-place-in-joint-operations|Eversden, Andrew, ‘The Army AI Task Force Takes on Two ‘Key’ Projects’, C4ISRnet, 10 Jun. 2020, https://www.c4isrnet.com/artificial-intelligence/2020/06/10/the-army-ai-task-force-takes-on-two-key-projects/|Farrell, Theo, Sten Rynning, and Terry Terriff, Transforming Military Power since the Cold War: Britain, France, and the United States, 1991–2012 (Cambridge, UK: Cambridge UP 2013). |Feickert, Andrew and Brendan W. McGarry, ‘The Army’s Modernization Strategy: Congressional Oversight Considerations’, Congressional Research Service, 7 Feb. 2020, https://www.everycrsreport.com/files/20200207_R46216_444d93a212c95fd2fba1a596d520ca263a833307.pdf|Feickert, Andrew, ‘The Army’s Future Combat System (FCS): Background and Issues for Congress’, Congressional Research Services, 5 May 2006, https://www.everycrsreport.com/files/20060505_RL32888_bd0c5e4691669243ba6aacea43a6ce91c182246e.pdf|Fiott, Daniel, ‘A Revolution Too Far? US Defence Innovation, Europe and NATO’s Military-Technological Gap’, Journal of Strategic Studies 40/3 (2017), 417–37. DOI:10.1080/01402390.2016.1176565 |Gansler, Jacques, Democracy’s Arsenal: Creating a Twenty-First Century Defense Industry (Cambridge, MA: MIT UP 2011). |Geurts, James F., ‘The Department of the Navy Fiscal Year 2020 Budget Request for Science and Technology Programs’, House Armed Services Committee, 28 Mar. 2019. https://armedservices.house.gov/_cache/files/c/4/c46d8d7f-cade-4487-bae0-f87943aa205e/5AD8EA25BA971C25EF67C083034A43F2.hhrg-116-as26-wstate-geurtsj-20190328.pdf|Gilli, Andrea and Mauro Gilli, ‘Why China Has Not Caught Up Yet: Military-Technological Superiority and the Limits of Imitation, Reverse Engineering, and Cyber Espionage’, International Security 43/3 ( Winter 2018/19), 141–89. DOI:10.1162/isec_a_00337 |Glavy, Matthew G. and Brett Goldstein, ‘The Battle for Mon Cala: Getting the Military to Deliver Its Own Tech Solutions’, War On The Rocks, 20 Aug. 2020, https://warontherocks.com/2020/08/the-battle-for-mon-cala-getting-the-military-to-deliver-its-own-tech-solutions/|Griffin, Stuart, ‘Military Innovation Studies: Multidisciplinary or Lacking Discipline?’, Journal of Strategic Studies 40/1/2 (2016), 196–224. DOI:10.1080/01402390.2016.1196358 |Grissom, Andrew, ‘The Future of Military Innovation Studies’, Journal of Strategic Studies 29/5 (Oct. 2006), 905–34. DOI:10.1080/01402390600901067. |Haduch, Thomas W., ‘Maintaining the US Army Research, Development and Engineering Command Prototype Integration Facilities’, Defense Acquisition University Press. May 2014, https://www.dau.edu/training/career-development/sscf/Documents/T.%20HaduchSSCF2014SRPOPSECFINAL.pdf|Harper, Jon, ‘Army to Release New Wish List for Optionally Manned Fighting Vehicle’, National Defense Magazine, 19 Feb. 2020, https://www.nationaldefensemagazine.org/articles/2020/2/19/army-to-release-new-wish-list-for-optionally-manned-fighting-vehicle|Horowitz, Michael C., The Diffusion of Military Power: Causes and Consequences for International Politics (Princeton, NJ: Princeton UP 2010). |Horowitz, Michael, ‘Artificial Intelligence, International Competition, and the Balance of Power’, Texas National Security Review 1/3 (May 2018), 36–57. https://tnsr.org/2018/05/artificial-intelligence-international-competition-and-the-balance-of-power/|Kaeser, Hans Ulrich, ‘The Future Combat System: What Future Can The Army Afford?’, Center for Strategic and International Studies, 5 Feb. 2009. Working draft, https://csis-website-prod.s3.amazonaws.com/s3fs-public/legacy_files/files/media/csis/pubs/090205_fcsarmy.pdf|Kenyon, Henry, ‘Rapid App Response: Marines to Embed Development Teams with Deployed Units’, GCN, 6 Feb. 2012, https://gcn.com/articles/2012/02/06/marine-corps-apps-embedded-development-teams.aspx|Kleinholz, Joshua, ‘AFwerX Vegas Opens New Doors to Innovation’, Air Combat Command, 23 Aug. 2017, https://www.acc.af.mil/News/Article-Display/Article/1288094/afwerx-vegas-opens-new-doors-to-innovation/|Kollars, Nina A., ‘War’s Horizon: Soldier-Led Adaptation in Iraq and Vietnam’, Journal of Strategic Studies 38/4 (2015), 529–53. DOI:10.1080/01402390.2014.971947 |Krazit, Tom, ‘How the US Air Force Deployed Kubernetes and Istio on an F-16 in 45 Days’, The New Stack, 24 Dec. 2019, https://thenewstack.io/how-the-u-s-air-force-deployed-kubernetes-and-istio-on-an-f-16-in-45-days/|Lake, Daniel R., The Pursuit of Technological Superiority and the Shrinking American Military (New York, NY: Palgrave MacMillan 2019). |Lavelle, Sean, ‘The Navy’s Kessel Run’, US Naval Institute, 3 Jan. 2019, https://blog.usni.org/posts/2019/01/03/the-navys-kessel-run|Leonard, Herman, et al., ‘SOFWERX: Innovation at US Special Operations Command’, Harvard Business School Case 819–004, Jul. 2018. (Open in a new window)Google Scholar|Lindsay, Jon R., Information Technology and Military Power (Ithaca, NY: Cornell UP 2020). |Lofgren, Eric, ‘The Future of Navy Software Development with Lt. Sean Lavelle,’ Acquisition Talk (1 Apr. 2020). Audio. (Open in a new window)Google Scholar|Lofgren, Eric, ‘The Last Frontier of Acquisition Reform: The Budget Process’, Conference Paper, Proceedings of the Seventeenth Annual Acquisition Research Symposium, 13-14 May 2020. Prepared for the Naval Postgraduate School, Monterey, CA. (Open in a new window)Google Scholar|Mabus, Ray, ‘Harnessing the Navy’s Culture of Innovation’, Naval Science and Technology Future Force Magazine, 7 Apr. 2015, https://futureforce.navylive.dodlive.mil/2015/04/harnessing-the-navys-culture-of-innovation/|Magnuson, Stew, ‘AUSA NEWS: Army Futures Command Breaking Down Barriers’, National Defense Magazine, 16 Oct. 2019, https://www.nationaldefensemagazine.org/articles/2019/10/16/army-futures-command-breaking-down-barriers|Mahnken, Thomas G., Technology and the American Way of War since 1945 (New York, NY: Columbia UP 2008). (Open in a new window)Google Scholar|Mansoor, Peter R. and Williamson Murray, (eds.), The Culture of Military Organizations (Cambridge: UK: Cambridge UP 2019). |Mayfield, Mandy, ‘Army Futures Command Establishes “Software Factory”’, National Defense Magazine, 21 Aug. 2020, https://www.nationaldefensemagazine.org/articles/2020/8/21/army-futures-command-establishes-software-factory|McCain, John, ‘Opening Statement by SASC Chairman John McCain at Hearing on DoD Nominations’, Office of Senator John McCain, 14 Nov. 2017, https://www.mccain.senate.gov/public/index.cfm/floor-statements?ID=05DCC73A-F9F2-44E8-A75F-236003222AF2|McQuade, J. Michael et al., ‘Software Is Never Done: Refactoring the Acquisition Code for Competitive Advantage’, Defense Innovation Board, 3 May 2019, https://media.defense.gov/2019/May/01/2002126690/-1/-1/0/SWAP%20EXECUTIVE%20SUMMARY.PDF|</v>
      </c>
    </row>
    <row r="56" customFormat="false" ht="147" hidden="false" customHeight="false" outlineLevel="0" collapsed="false">
      <c r="A56" s="4" t="s">
        <v>123</v>
      </c>
      <c r="B56" s="3" t="s">
        <v>124</v>
      </c>
      <c r="C56" s="0" t="str">
        <f aca="false">B56&amp;"|"</f>
        <v>Miller, Jason, ‘Air Force’s game-changing approach to cloud accreditation, Federal News Network’, 30 Jul. 2020, https://federalnewsnetwork.com/ask-the-cio/2020/07/air-forces-game-changing-approach-to-cloud-accreditation/|</v>
      </c>
      <c r="D56" s="0" t="str">
        <f aca="false">D55&amp;C56</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|Cote, Owen Reid, Jr., ‘The Politics of Innovative Military Doctrine: The US Navy and Fleet Ballistic Missiles’, Doctoral dissertation, Massachusetts Institute of Technology, Feb. 1996. (Open in a new window)Google Scholar|Cronin, Audrey Kurth, Power to the People: How Open Technological Innovation Is Arming Tomorrow’s Terrorists (Oxford: Oxford UP 2020). (Open in a new window)Google Scholar|Department of the Navy, ‘Unmanned Campaign Network’, 16 Mar. 2021, https://www.navy.mil/Portals/1/Strategic/20210315%20Unmanned%20Campaign_Final_LowRes.pdf?ver=LtCZ-BPlWki6vCBTdgtDMA%3D%3D|DiNapoli, Timothy J., ‘DOD’s Use of Other Transactions for Prototype Projects Has Increased’, Government Accountability Office GAO-20–84, Nov. 2019, https://www.gao.gov/assets/710/702861.pdf|Dunn, Richard L., ‘Other Transactions Contracts: Poorly Understood, Little Used’, National Defense Magazine, 15 May 2017, https://www.nationaldefensemagazine.org/articles/2017/5/15/other-transactions-contracts-poorly-understood-little-used|Easley, Matthew P., ‘Army Artificial Intelligence Task Force (AI-TF)’, US Army Futures Command (2019). https://www.clsac.org/uploads/5/0/6/3/50633811/2019-easley-aiml.pdf|Eckhardt, Jonathan T., Michael P. Ciuchta, and Mason Carpenter, ‘Open Innovation, Information, and Entrepreneurship within Platform Ecosystems’, Strategic Entrepreneurship Journal 12 (2018), 369–91. DOI:10.1002/sej.1298 |Eckstein, Megan, ‘Marine Corps Information Community Growing in Capability, Trying to Find Its Place in Joint Operations’, USNI News, 7 Jan. 2020, https://news.usni.org/2020/01/07/marine-corps-information-community-growing-in-capability-trying-to-find-its-place-in-joint-operations|Eversden, Andrew, ‘The Army AI Task Force Takes on Two ‘Key’ Projects’, C4ISRnet, 10 Jun. 2020, https://www.c4isrnet.com/artificial-intelligence/2020/06/10/the-army-ai-task-force-takes-on-two-key-projects/|Farrell, Theo, Sten Rynning, and Terry Terriff, Transforming Military Power since the Cold War: Britain, France, and the United States, 1991–2012 (Cambridge, UK: Cambridge UP 2013). |Feickert, Andrew and Brendan W. McGarry, ‘The Army’s Modernization Strategy: Congressional Oversight Considerations’, Congressional Research Service, 7 Feb. 2020, https://www.everycrsreport.com/files/20200207_R46216_444d93a212c95fd2fba1a596d520ca263a833307.pdf|Feickert, Andrew, ‘The Army’s Future Combat System (FCS): Background and Issues for Congress’, Congressional Research Services, 5 May 2006, https://www.everycrsreport.com/files/20060505_RL32888_bd0c5e4691669243ba6aacea43a6ce91c182246e.pdf|Fiott, Daniel, ‘A Revolution Too Far? US Defence Innovation, Europe and NATO’s Military-Technological Gap’, Journal of Strategic Studies 40/3 (2017), 417–37. DOI:10.1080/01402390.2016.1176565 |Gansler, Jacques, Democracy’s Arsenal: Creating a Twenty-First Century Defense Industry (Cambridge, MA: MIT UP 2011). |Geurts, James F., ‘The Department of the Navy Fiscal Year 2020 Budget Request for Science and Technology Programs’, House Armed Services Committee, 28 Mar. 2019. https://armedservices.house.gov/_cache/files/c/4/c46d8d7f-cade-4487-bae0-f87943aa205e/5AD8EA25BA971C25EF67C083034A43F2.hhrg-116-as26-wstate-geurtsj-20190328.pdf|Gilli, Andrea and Mauro Gilli, ‘Why China Has Not Caught Up Yet: Military-Technological Superiority and the Limits of Imitation, Reverse Engineering, and Cyber Espionage’, International Security 43/3 ( Winter 2018/19), 141–89. DOI:10.1162/isec_a_00337 |Glavy, Matthew G. and Brett Goldstein, ‘The Battle for Mon Cala: Getting the Military to Deliver Its Own Tech Solutions’, War On The Rocks, 20 Aug. 2020, https://warontherocks.com/2020/08/the-battle-for-mon-cala-getting-the-military-to-deliver-its-own-tech-solutions/|Griffin, Stuart, ‘Military Innovation Studies: Multidisciplinary or Lacking Discipline?’, Journal of Strategic Studies 40/1/2 (2016), 196–224. DOI:10.1080/01402390.2016.1196358 |Grissom, Andrew, ‘The Future of Military Innovation Studies’, Journal of Strategic Studies 29/5 (Oct. 2006), 905–34. DOI:10.1080/01402390600901067. |Haduch, Thomas W., ‘Maintaining the US Army Research, Development and Engineering Command Prototype Integration Facilities’, Defense Acquisition University Press. May 2014, https://www.dau.edu/training/career-development/sscf/Documents/T.%20HaduchSSCF2014SRPOPSECFINAL.pdf|Harper, Jon, ‘Army to Release New Wish List for Optionally Manned Fighting Vehicle’, National Defense Magazine, 19 Feb. 2020, https://www.nationaldefensemagazine.org/articles/2020/2/19/army-to-release-new-wish-list-for-optionally-manned-fighting-vehicle|Horowitz, Michael C., The Diffusion of Military Power: Causes and Consequences for International Politics (Princeton, NJ: Princeton UP 2010). |Horowitz, Michael, ‘Artificial Intelligence, International Competition, and the Balance of Power’, Texas National Security Review 1/3 (May 2018), 36–57. https://tnsr.org/2018/05/artificial-intelligence-international-competition-and-the-balance-of-power/|Kaeser, Hans Ulrich, ‘The Future Combat System: What Future Can The Army Afford?’, Center for Strategic and International Studies, 5 Feb. 2009. Working draft, https://csis-website-prod.s3.amazonaws.com/s3fs-public/legacy_files/files/media/csis/pubs/090205_fcsarmy.pdf|Kenyon, Henry, ‘Rapid App Response: Marines to Embed Development Teams with Deployed Units’, GCN, 6 Feb. 2012, https://gcn.com/articles/2012/02/06/marine-corps-apps-embedded-development-teams.aspx|Kleinholz, Joshua, ‘AFwerX Vegas Opens New Doors to Innovation’, Air Combat Command, 23 Aug. 2017, https://www.acc.af.mil/News/Article-Display/Article/1288094/afwerx-vegas-opens-new-doors-to-innovation/|Kollars, Nina A., ‘War’s Horizon: Soldier-Led Adaptation in Iraq and Vietnam’, Journal of Strategic Studies 38/4 (2015), 529–53. DOI:10.1080/01402390.2014.971947 |Krazit, Tom, ‘How the US Air Force Deployed Kubernetes and Istio on an F-16 in 45 Days’, The New Stack, 24 Dec. 2019, https://thenewstack.io/how-the-u-s-air-force-deployed-kubernetes-and-istio-on-an-f-16-in-45-days/|Lake, Daniel R., The Pursuit of Technological Superiority and the Shrinking American Military (New York, NY: Palgrave MacMillan 2019). |Lavelle, Sean, ‘The Navy’s Kessel Run’, US Naval Institute, 3 Jan. 2019, https://blog.usni.org/posts/2019/01/03/the-navys-kessel-run|Leonard, Herman, et al., ‘SOFWERX: Innovation at US Special Operations Command’, Harvard Business School Case 819–004, Jul. 2018. (Open in a new window)Google Scholar|Lindsay, Jon R., Information Technology and Military Power (Ithaca, NY: Cornell UP 2020). |Lofgren, Eric, ‘The Future of Navy Software Development with Lt. Sean Lavelle,’ Acquisition Talk (1 Apr. 2020). Audio. (Open in a new window)Google Scholar|Lofgren, Eric, ‘The Last Frontier of Acquisition Reform: The Budget Process’, Conference Paper, Proceedings of the Seventeenth Annual Acquisition Research Symposium, 13-14 May 2020. Prepared for the Naval Postgraduate School, Monterey, CA. (Open in a new window)Google Scholar|Mabus, Ray, ‘Harnessing the Navy’s Culture of Innovation’, Naval Science and Technology Future Force Magazine, 7 Apr. 2015, https://futureforce.navylive.dodlive.mil/2015/04/harnessing-the-navys-culture-of-innovation/|Magnuson, Stew, ‘AUSA NEWS: Army Futures Command Breaking Down Barriers’, National Defense Magazine, 16 Oct. 2019, https://www.nationaldefensemagazine.org/articles/2019/10/16/army-futures-command-breaking-down-barriers|Mahnken, Thomas G., Technology and the American Way of War since 1945 (New York, NY: Columbia UP 2008). (Open in a new window)Google Scholar|Mansoor, Peter R. and Williamson Murray, (eds.), The Culture of Military Organizations (Cambridge: UK: Cambridge UP 2019). |Mayfield, Mandy, ‘Army Futures Command Establishes “Software Factory”’, National Defense Magazine, 21 Aug. 2020, https://www.nationaldefensemagazine.org/articles/2020/8/21/army-futures-command-establishes-software-factory|McCain, John, ‘Opening Statement by SASC Chairman John McCain at Hearing on DoD Nominations’, Office of Senator John McCain, 14 Nov. 2017, https://www.mccain.senate.gov/public/index.cfm/floor-statements?ID=05DCC73A-F9F2-44E8-A75F-236003222AF2|McQuade, J. Michael et al., ‘Software Is Never Done: Refactoring the Acquisition Code for Competitive Advantage’, Defense Innovation Board, 3 May 2019, https://media.defense.gov/2019/May/01/2002126690/-1/-1/0/SWAP%20EXECUTIVE%20SUMMARY.PDF|Miller, Jason, ‘Air Force’s game-changing approach to cloud accreditation, Federal News Network’, 30 Jul. 2020, https://federalnewsnetwork.com/ask-the-cio/2020/07/air-forces-game-changing-approach-to-cloud-accreditation/|</v>
      </c>
    </row>
    <row r="57" customFormat="false" ht="124.6" hidden="false" customHeight="false" outlineLevel="0" collapsed="false">
      <c r="A57" s="4" t="s">
        <v>125</v>
      </c>
      <c r="B57" s="3" t="s">
        <v>125</v>
      </c>
      <c r="C57" s="0" t="str">
        <f aca="false">B57&amp;"|"</f>
        <v>Mori, Satoru, ‘US Defense Innovation and Artificial Intelligence’, Asia-Pacific Review 25/2 (2018), 16–44. DOI:10.1080/13439006.2018.1545488 |</v>
      </c>
      <c r="D57" s="0" t="str">
        <f aca="false">D56&amp;C57</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|Cote, Owen Reid, Jr., ‘The Politics of Innovative Military Doctrine: The US Navy and Fleet Ballistic Missiles’, Doctoral dissertation, Massachusetts Institute of Technology, Feb. 1996. (Open in a new window)Google Scholar|Cronin, Audrey Kurth, Power to the People: How Open Technological Innovation Is Arming Tomorrow’s Terrorists (Oxford: Oxford UP 2020). (Open in a new window)Google Scholar|Department of the Navy, ‘Unmanned Campaign Network’, 16 Mar. 2021, https://www.navy.mil/Portals/1/Strategic/20210315%20Unmanned%20Campaign_Final_LowRes.pdf?ver=LtCZ-BPlWki6vCBTdgtDMA%3D%3D|DiNapoli, Timothy J., ‘DOD’s Use of Other Transactions for Prototype Projects Has Increased’, Government Accountability Office GAO-20–84, Nov. 2019, https://www.gao.gov/assets/710/702861.pdf|Dunn, Richard L., ‘Other Transactions Contracts: Poorly Understood, Little Used’, National Defense Magazine, 15 May 2017, https://www.nationaldefensemagazine.org/articles/2017/5/15/other-transactions-contracts-poorly-understood-little-used|Easley, Matthew P., ‘Army Artificial Intelligence Task Force (AI-TF)’, US Army Futures Command (2019). https://www.clsac.org/uploads/5/0/6/3/50633811/2019-easley-aiml.pdf|Eckhardt, Jonathan T., Michael P. Ciuchta, and Mason Carpenter, ‘Open Innovation, Information, and Entrepreneurship within Platform Ecosystems’, Strategic Entrepreneurship Journal 12 (2018), 369–91. DOI:10.1002/sej.1298 |Eckstein, Megan, ‘Marine Corps Information Community Growing in Capability, Trying to Find Its Place in Joint Operations’, USNI News, 7 Jan. 2020, https://news.usni.org/2020/01/07/marine-corps-information-community-growing-in-capability-trying-to-find-its-place-in-joint-operations|Eversden, Andrew, ‘The Army AI Task Force Takes on Two ‘Key’ Projects’, C4ISRnet, 10 Jun. 2020, https://www.c4isrnet.com/artificial-intelligence/2020/06/10/the-army-ai-task-force-takes-on-two-key-projects/|Farrell, Theo, Sten Rynning, and Terry Terriff, Transforming Military Power since the Cold War: Britain, France, and the United States, 1991–2012 (Cambridge, UK: Cambridge UP 2013). |Feickert, Andrew and Brendan W. McGarry, ‘The Army’s Modernization Strategy: Congressional Oversight Considerations’, Congressional Research Service, 7 Feb. 2020, https://www.everycrsreport.com/files/20200207_R46216_444d93a212c95fd2fba1a596d520ca263a833307.pdf|Feickert, Andrew, ‘The Army’s Future Combat System (FCS): Background and Issues for Congress’, Congressional Research Services, 5 May 2006, https://www.everycrsreport.com/files/20060505_RL32888_bd0c5e4691669243ba6aacea43a6ce91c182246e.pdf|Fiott, Daniel, ‘A Revolution Too Far? US Defence Innovation, Europe and NATO’s Military-Technological Gap’, Journal of Strategic Studies 40/3 (2017), 417–37. DOI:10.1080/01402390.2016.1176565 |Gansler, Jacques, Democracy’s Arsenal: Creating a Twenty-First Century Defense Industry (Cambridge, MA: MIT UP 2011). |Geurts, James F., ‘The Department of the Navy Fiscal Year 2020 Budget Request for Science and Technology Programs’, House Armed Services Committee, 28 Mar. 2019. https://armedservices.house.gov/_cache/files/c/4/c46d8d7f-cade-4487-bae0-f87943aa205e/5AD8EA25BA971C25EF67C083034A43F2.hhrg-116-as26-wstate-geurtsj-20190328.pdf|Gilli, Andrea and Mauro Gilli, ‘Why China Has Not Caught Up Yet: Military-Technological Superiority and the Limits of Imitation, Reverse Engineering, and Cyber Espionage’, International Security 43/3 ( Winter 2018/19), 141–89. DOI:10.1162/isec_a_00337 |Glavy, Matthew G. and Brett Goldstein, ‘The Battle for Mon Cala: Getting the Military to Deliver Its Own Tech Solutions’, War On The Rocks, 20 Aug. 2020, https://warontherocks.com/2020/08/the-battle-for-mon-cala-getting-the-military-to-deliver-its-own-tech-solutions/|Griffin, Stuart, ‘Military Innovation Studies: Multidisciplinary or Lacking Discipline?’, Journal of Strategic Studies 40/1/2 (2016), 196–224. DOI:10.1080/01402390.2016.1196358 |Grissom, Andrew, ‘The Future of Military Innovation Studies’, Journal of Strategic Studies 29/5 (Oct. 2006), 905–34. DOI:10.1080/01402390600901067. |Haduch, Thomas W., ‘Maintaining the US Army Research, Development and Engineering Command Prototype Integration Facilities’, Defense Acquisition University Press. May 2014, https://www.dau.edu/training/career-development/sscf/Documents/T.%20HaduchSSCF2014SRPOPSECFINAL.pdf|Harper, Jon, ‘Army to Release New Wish List for Optionally Manned Fighting Vehicle’, National Defense Magazine, 19 Feb. 2020, https://www.nationaldefensemagazine.org/articles/2020/2/19/army-to-release-new-wish-list-for-optionally-manned-fighting-vehicle|Horowitz, Michael C., The Diffusion of Military Power: Causes and Consequences for International Politics (Princeton, NJ: Princeton UP 2010). |Horowitz, Michael, ‘Artificial Intelligence, International Competition, and the Balance of Power’, Texas National Security Review 1/3 (May 2018), 36–57. https://tnsr.org/2018/05/artificial-intelligence-international-competition-and-the-balance-of-power/|Kaeser, Hans Ulrich, ‘The Future Combat System: What Future Can The Army Afford?’, Center for Strategic and International Studies, 5 Feb. 2009. Working draft, https://csis-website-prod.s3.amazonaws.com/s3fs-public/legacy_files/files/media/csis/pubs/090205_fcsarmy.pdf|Kenyon, Henry, ‘Rapid App Response: Marines to Embed Development Teams with Deployed Units’, GCN, 6 Feb. 2012, https://gcn.com/articles/2012/02/06/marine-corps-apps-embedded-development-teams.aspx|Kleinholz, Joshua, ‘AFwerX Vegas Opens New Doors to Innovation’, Air Combat Command, 23 Aug. 2017, https://www.acc.af.mil/News/Article-Display/Article/1288094/afwerx-vegas-opens-new-doors-to-innovation/|Kollars, Nina A., ‘War’s Horizon: Soldier-Led Adaptation in Iraq and Vietnam’, Journal of Strategic Studies 38/4 (2015), 529–53. DOI:10.1080/01402390.2014.971947 |Krazit, Tom, ‘How the US Air Force Deployed Kubernetes and Istio on an F-16 in 45 Days’, The New Stack, 24 Dec. 2019, https://thenewstack.io/how-the-u-s-air-force-deployed-kubernetes-and-istio-on-an-f-16-in-45-days/|Lake, Daniel R., The Pursuit of Technological Superiority and the Shrinking American Military (New York, NY: Palgrave MacMillan 2019). |Lavelle, Sean, ‘The Navy’s Kessel Run’, US Naval Institute, 3 Jan. 2019, https://blog.usni.org/posts/2019/01/03/the-navys-kessel-run|Leonard, Herman, et al., ‘SOFWERX: Innovation at US Special Operations Command’, Harvard Business School Case 819–004, Jul. 2018. (Open in a new window)Google Scholar|Lindsay, Jon R., Information Technology and Military Power (Ithaca, NY: Cornell UP 2020). |Lofgren, Eric, ‘The Future of Navy Software Development with Lt. Sean Lavelle,’ Acquisition Talk (1 Apr. 2020). Audio. (Open in a new window)Google Scholar|Lofgren, Eric, ‘The Last Frontier of Acquisition Reform: The Budget Process’, Conference Paper, Proceedings of the Seventeenth Annual Acquisition Research Symposium, 13-14 May 2020. Prepared for the Naval Postgraduate School, Monterey, CA. (Open in a new window)Google Scholar|Mabus, Ray, ‘Harnessing the Navy’s Culture of Innovation’, Naval Science and Technology Future Force Magazine, 7 Apr. 2015, https://futureforce.navylive.dodlive.mil/2015/04/harnessing-the-navys-culture-of-innovation/|Magnuson, Stew, ‘AUSA NEWS: Army Futures Command Breaking Down Barriers’, National Defense Magazine, 16 Oct. 2019, https://www.nationaldefensemagazine.org/articles/2019/10/16/army-futures-command-breaking-down-barriers|Mahnken, Thomas G., Technology and the American Way of War since 1945 (New York, NY: Columbia UP 2008). (Open in a new window)Google Scholar|Mansoor, Peter R. and Williamson Murray, (eds.), The Culture of Military Organizations (Cambridge: UK: Cambridge UP 2019). |Mayfield, Mandy, ‘Army Futures Command Establishes “Software Factory”’, National Defense Magazine, 21 Aug. 2020, https://www.nationaldefensemagazine.org/articles/2020/8/21/army-futures-command-establishes-software-factory|McCain, John, ‘Opening Statement by SASC Chairman John McCain at Hearing on DoD Nominations’, Office of Senator John McCain, 14 Nov. 2017, https://www.mccain.senate.gov/public/index.cfm/floor-statements?ID=05DCC73A-F9F2-44E8-A75F-236003222AF2|McQuade, J. Michael et al., ‘Software Is Never Done: Refactoring the Acquisition Code for Competitive Advantage’, Defense Innovation Board, 3 May 2019, https://media.defense.gov/2019/May/01/2002126690/-1/-1/0/SWAP%20EXECUTIVE%20SUMMARY.PDF|Miller, Jason, ‘Air Force’s game-changing approach to cloud accreditation, Federal News Network’, 30 Jul. 2020, https://federalnewsnetwork.com/ask-the-cio/2020/07/air-forces-game-changing-approach-to-cloud-accreditation/|Mori, Satoru, ‘US Defense Innovation and Artificial Intelligence’, Asia-Pacific Review 25/2 (2018), 16–44. DOI:10.1080/13439006.2018.1545488 |</v>
      </c>
    </row>
    <row r="58" customFormat="false" ht="113.4" hidden="false" customHeight="false" outlineLevel="0" collapsed="false">
      <c r="A58" s="4" t="s">
        <v>126</v>
      </c>
      <c r="B58" s="3" t="s">
        <v>127</v>
      </c>
      <c r="C58" s="0" t="str">
        <f aca="false">B58&amp;"|"</f>
        <v>NavalXAgility, ‘Scaling Agility, Navy Doubles Tech Bridge Locations,’ 13 May 2020, https://www.navy.mil/submit/display.asp?story_id=112953|</v>
      </c>
      <c r="D58" s="0" t="str">
        <f aca="false">D57&amp;C58</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|Cote, Owen Reid, Jr., ‘The Politics of Innovative Military Doctrine: The US Navy and Fleet Ballistic Missiles’, Doctoral dissertation, Massachusetts Institute of Technology, Feb. 1996. (Open in a new window)Google Scholar|Cronin, Audrey Kurth, Power to the People: How Open Technological Innovation Is Arming Tomorrow’s Terrorists (Oxford: Oxford UP 2020). (Open in a new window)Google Scholar|Department of the Navy, ‘Unmanned Campaign Network’, 16 Mar. 2021, https://www.navy.mil/Portals/1/Strategic/20210315%20Unmanned%20Campaign_Final_LowRes.pdf?ver=LtCZ-BPlWki6vCBTdgtDMA%3D%3D|DiNapoli, Timothy J., ‘DOD’s Use of Other Transactions for Prototype Projects Has Increased’, Government Accountability Office GAO-20–84, Nov. 2019, https://www.gao.gov/assets/710/702861.pdf|Dunn, Richard L., ‘Other Transactions Contracts: Poorly Understood, Little Used’, National Defense Magazine, 15 May 2017, https://www.nationaldefensemagazine.org/articles/2017/5/15/other-transactions-contracts-poorly-understood-little-used|Easley, Matthew P., ‘Army Artificial Intelligence Task Force (AI-TF)’, US Army Futures Command (2019). https://www.clsac.org/uploads/5/0/6/3/50633811/2019-easley-aiml.pdf|Eckhardt, Jonathan T., Michael P. Ciuchta, and Mason Carpenter, ‘Open Innovation, Information, and Entrepreneurship within Platform Ecosystems’, Strategic Entrepreneurship Journal 12 (2018), 369–91. DOI:10.1002/sej.1298 |Eckstein, Megan, ‘Marine Corps Information Community Growing in Capability, Trying to Find Its Place in Joint Operations’, USNI News, 7 Jan. 2020, https://news.usni.org/2020/01/07/marine-corps-information-community-growing-in-capability-trying-to-find-its-place-in-joint-operations|Eversden, Andrew, ‘The Army AI Task Force Takes on Two ‘Key’ Projects’, C4ISRnet, 10 Jun. 2020, https://www.c4isrnet.com/artificial-intelligence/2020/06/10/the-army-ai-task-force-takes-on-two-key-projects/|Farrell, Theo, Sten Rynning, and Terry Terriff, Transforming Military Power since the Cold War: Britain, France, and the United States, 1991–2012 (Cambridge, UK: Cambridge UP 2013). |Feickert, Andrew and Brendan W. McGarry, ‘The Army’s Modernization Strategy: Congressional Oversight Considerations’, Congressional Research Service, 7 Feb. 2020, https://www.everycrsreport.com/files/20200207_R46216_444d93a212c95fd2fba1a596d520ca263a833307.pdf|Feickert, Andrew, ‘The Army’s Future Combat System (FCS): Background and Issues for Congress’, Congressional Research Services, 5 May 2006, https://www.everycrsreport.com/files/20060505_RL32888_bd0c5e4691669243ba6aacea43a6ce91c182246e.pdf|Fiott, Daniel, ‘A Revolution Too Far? US Defence Innovation, Europe and NATO’s Military-Technological Gap’, Journal of Strategic Studies 40/3 (2017), 417–37. DOI:10.1080/01402390.2016.1176565 |Gansler, Jacques, Democracy’s Arsenal: Creating a Twenty-First Century Defense Industry (Cambridge, MA: MIT UP 2011). |Geurts, James F., ‘The Department of the Navy Fiscal Year 2020 Budget Request for Science and Technology Programs’, House Armed Services Committee, 28 Mar. 2019. https://armedservices.house.gov/_cache/files/c/4/c46d8d7f-cade-4487-bae0-f87943aa205e/5AD8EA25BA971C25EF67C083034A43F2.hhrg-116-as26-wstate-geurtsj-20190328.pdf|Gilli, Andrea and Mauro Gilli, ‘Why China Has Not Caught Up Yet: Military-Technological Superiority and the Limits of Imitation, Reverse Engineering, and Cyber Espionage’, International Security 43/3 ( Winter 2018/19), 141–89. DOI:10.1162/isec_a_00337 |Glavy, Matthew G. and Brett Goldstein, ‘The Battle for Mon Cala: Getting the Military to Deliver Its Own Tech Solutions’, War On The Rocks, 20 Aug. 2020, https://warontherocks.com/2020/08/the-battle-for-mon-cala-getting-the-military-to-deliver-its-own-tech-solutions/|Griffin, Stuart, ‘Military Innovation Studies: Multidisciplinary or Lacking Discipline?’, Journal of Strategic Studies 40/1/2 (2016), 196–224. DOI:10.1080/01402390.2016.1196358 |Grissom, Andrew, ‘The Future of Military Innovation Studies’, Journal of Strategic Studies 29/5 (Oct. 2006), 905–34. DOI:10.1080/01402390600901067. |Haduch, Thomas W., ‘Maintaining the US Army Research, Development and Engineering Command Prototype Integration Facilities’, Defense Acquisition University Press. May 2014, https://www.dau.edu/training/career-development/sscf/Documents/T.%20HaduchSSCF2014SRPOPSECFINAL.pdf|Harper, Jon, ‘Army to Release New Wish List for Optionally Manned Fighting Vehicle’, National Defense Magazine, 19 Feb. 2020, https://www.nationaldefensemagazine.org/articles/2020/2/19/army-to-release-new-wish-list-for-optionally-manned-fighting-vehicle|Horowitz, Michael C., The Diffusion of Military Power: Causes and Consequences for International Politics (Princeton, NJ: Princeton UP 2010). |Horowitz, Michael, ‘Artificial Intelligence, International Competition, and the Balance of Power’, Texas National Security Review 1/3 (May 2018), 36–57. https://tnsr.org/2018/05/artificial-intelligence-international-competition-and-the-balance-of-power/|Kaeser, Hans Ulrich, ‘The Future Combat System: What Future Can The Army Afford?’, Center for Strategic and International Studies, 5 Feb. 2009. Working draft, https://csis-website-prod.s3.amazonaws.com/s3fs-public/legacy_files/files/media/csis/pubs/090205_fcsarmy.pdf|Kenyon, Henry, ‘Rapid App Response: Marines to Embed Development Teams with Deployed Units’, GCN, 6 Feb. 2012, https://gcn.com/articles/2012/02/06/marine-corps-apps-embedded-development-teams.aspx|Kleinholz, Joshua, ‘AFwerX Vegas Opens New Doors to Innovation’, Air Combat Command, 23 Aug. 2017, https://www.acc.af.mil/News/Article-Display/Article/1288094/afwerx-vegas-opens-new-doors-to-innovation/|Kollars, Nina A., ‘War’s Horizon: Soldier-Led Adaptation in Iraq and Vietnam’, Journal of Strategic Studies 38/4 (2015), 529–53. DOI:10.1080/01402390.2014.971947 |Krazit, Tom, ‘How the US Air Force Deployed Kubernetes and Istio on an F-16 in 45 Days’, The New Stack, 24 Dec. 2019, https://thenewstack.io/how-the-u-s-air-force-deployed-kubernetes-and-istio-on-an-f-16-in-45-days/|Lake, Daniel R., The Pursuit of Technological Superiority and the Shrinking American Military (New York, NY: Palgrave MacMillan 2019). |Lavelle, Sean, ‘The Navy’s Kessel Run’, US Naval Institute, 3 Jan. 2019, https://blog.usni.org/posts/2019/01/03/the-navys-kessel-run|Leonard, Herman, et al., ‘SOFWERX: Innovation at US Special Operations Command’, Harvard Business School Case 819–004, Jul. 2018. (Open in a new window)Google Scholar|Lindsay, Jon R., Information Technology and Military Power (Ithaca, NY: Cornell UP 2020). |Lofgren, Eric, ‘The Future of Navy Software Development with Lt. Sean Lavelle,’ Acquisition Talk (1 Apr. 2020). Audio. (Open in a new window)Google Scholar|Lofgren, Eric, ‘The Last Frontier of Acquisition Reform: The Budget Process’, Conference Paper, Proceedings of the Seventeenth Annual Acquisition Research Symposium, 13-14 May 2020. Prepared for the Naval Postgraduate School, Monterey, CA. (Open in a new window)Google Scholar|Mabus, Ray, ‘Harnessing the Navy’s Culture of Innovation’, Naval Science and Technology Future Force Magazine, 7 Apr. 2015, https://futureforce.navylive.dodlive.mil/2015/04/harnessing-the-navys-culture-of-innovation/|Magnuson, Stew, ‘AUSA NEWS: Army Futures Command Breaking Down Barriers’, National Defense Magazine, 16 Oct. 2019, https://www.nationaldefensemagazine.org/articles/2019/10/16/army-futures-command-breaking-down-barriers|Mahnken, Thomas G., Technology and the American Way of War since 1945 (New York, NY: Columbia UP 2008). (Open in a new window)Google Scholar|Mansoor, Peter R. and Williamson Murray, (eds.), The Culture of Military Organizations (Cambridge: UK: Cambridge UP 2019). |Mayfield, Mandy, ‘Army Futures Command Establishes “Software Factory”’, National Defense Magazine, 21 Aug. 2020, https://www.nationaldefensemagazine.org/articles/2020/8/21/army-futures-command-establishes-software-factory|McCain, John, ‘Opening Statement by SASC Chairman John McCain at Hearing on DoD Nominations’, Office of Senator John McCain, 14 Nov. 2017, https://www.mccain.senate.gov/public/index.cfm/floor-statements?ID=05DCC73A-F9F2-44E8-A75F-236003222AF2|McQuade, J. Michael et al., ‘Software Is Never Done: Refactoring the Acquisition Code for Competitive Advantage’, Defense Innovation Board, 3 May 2019, https://media.defense.gov/2019/May/01/2002126690/-1/-1/0/SWAP%20EXECUTIVE%20SUMMARY.PDF|Miller, Jason, ‘Air Force’s game-changing approach to cloud accreditation, Federal News Network’, 30 Jul. 2020, https://federalnewsnetwork.com/ask-the-cio/2020/07/air-forces-game-changing-approach-to-cloud-accreditation/|Mori, Satoru, ‘US Defense Innovation and Artificial Intelligence’, Asia-Pacific Review 25/2 (2018), 16–44. DOI:10.1080/13439006.2018.1545488 |NavalXAgility, ‘Scaling Agility, Navy Doubles Tech Bridge Locations,’ 13 May 2020, https://www.navy.mil/submit/display.asp?story_id=112953|</v>
      </c>
    </row>
    <row r="59" customFormat="false" ht="169.4" hidden="false" customHeight="false" outlineLevel="0" collapsed="false">
      <c r="A59" s="4" t="s">
        <v>128</v>
      </c>
      <c r="B59" s="3" t="s">
        <v>129</v>
      </c>
      <c r="C59" s="0" t="str">
        <f aca="false">B59&amp;"|"</f>
        <v>Neller, Robert B., ‘Strategy for Assured Command and Control: Enabling C2 for Tomorrow’s Marine Corps, Today’, US Marine Corps, Mar. 2017, https://www.hqmc.marines.mil/Portals/61/Marine_Corps_Strategy_for_Assured_Command_and_Control_March_2017.pdf?ver=2017-05-30-160731-940|</v>
      </c>
      <c r="D59" s="0" t="str">
        <f aca="false">D58&amp;C59</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|Cote, Owen Reid, Jr., ‘The Politics of Innovative Military Doctrine: The US Navy and Fleet Ballistic Missiles’, Doctoral dissertation, Massachusetts Institute of Technology, Feb. 1996. (Open in a new window)Google Scholar|Cronin, Audrey Kurth, Power to the People: How Open Technological Innovation Is Arming Tomorrow’s Terrorists (Oxford: Oxford UP 2020). (Open in a new window)Google Scholar|Department of the Navy, ‘Unmanned Campaign Network’, 16 Mar. 2021, https://www.navy.mil/Portals/1/Strategic/20210315%20Unmanned%20Campaign_Final_LowRes.pdf?ver=LtCZ-BPlWki6vCBTdgtDMA%3D%3D|DiNapoli, Timothy J., ‘DOD’s Use of Other Transactions for Prototype Projects Has Increased’, Government Accountability Office GAO-20–84, Nov. 2019, https://www.gao.gov/assets/710/702861.pdf|Dunn, Richard L., ‘Other Transactions Contracts: Poorly Understood, Little Used’, National Defense Magazine, 15 May 2017, https://www.nationaldefensemagazine.org/articles/2017/5/15/other-transactions-contracts-poorly-understood-little-used|Easley, Matthew P., ‘Army Artificial Intelligence Task Force (AI-TF)’, US Army Futures Command (2019). https://www.clsac.org/uploads/5/0/6/3/50633811/2019-easley-aiml.pdf|Eckhardt, Jonathan T., Michael P. Ciuchta, and Mason Carpenter, ‘Open Innovation, Information, and Entrepreneurship within Platform Ecosystems’, Strategic Entrepreneurship Journal 12 (2018), 369–91. DOI:10.1002/sej.1298 |Eckstein, Megan, ‘Marine Corps Information Community Growing in Capability, Trying to Find Its Place in Joint Operations’, USNI News, 7 Jan. 2020, https://news.usni.org/2020/01/07/marine-corps-information-community-growing-in-capability-trying-to-find-its-place-in-joint-operations|Eversden, Andrew, ‘The Army AI Task Force Takes on Two ‘Key’ Projects’, C4ISRnet, 10 Jun. 2020, https://www.c4isrnet.com/artificial-intelligence/2020/06/10/the-army-ai-task-force-takes-on-two-key-projects/|Farrell, Theo, Sten Rynning, and Terry Terriff, Transforming Military Power since the Cold War: Britain, France, and the United States, 1991–2012 (Cambridge, UK: Cambridge UP 2013). |Feickert, Andrew and Brendan W. McGarry, ‘The Army’s Modernization Strategy: Congressional Oversight Considerations’, Congressional Research Service, 7 Feb. 2020, https://www.everycrsreport.com/files/20200207_R46216_444d93a212c95fd2fba1a596d520ca263a833307.pdf|Feickert, Andrew, ‘The Army’s Future Combat System (FCS): Background and Issues for Congress’, Congressional Research Services, 5 May 2006, https://www.everycrsreport.com/files/20060505_RL32888_bd0c5e4691669243ba6aacea43a6ce91c182246e.pdf|Fiott, Daniel, ‘A Revolution Too Far? US Defence Innovation, Europe and NATO’s Military-Technological Gap’, Journal of Strategic Studies 40/3 (2017), 417–37. DOI:10.1080/01402390.2016.1176565 |Gansler, Jacques, Democracy’s Arsenal: Creating a Twenty-First Century Defense Industry (Cambridge, MA: MIT UP 2011). |Geurts, James F., ‘The Department of the Navy Fiscal Year 2020 Budget Request for Science and Technology Programs’, House Armed Services Committee, 28 Mar. 2019. https://armedservices.house.gov/_cache/files/c/4/c46d8d7f-cade-4487-bae0-f87943aa205e/5AD8EA25BA971C25EF67C083034A43F2.hhrg-116-as26-wstate-geurtsj-20190328.pdf|Gilli, Andrea and Mauro Gilli, ‘Why China Has Not Caught Up Yet: Military-Technological Superiority and the Limits of Imitation, Reverse Engineering, and Cyber Espionage’, International Security 43/3 ( Winter 2018/19), 141–89. DOI:10.1162/isec_a_00337 |Glavy, Matthew G. and Brett Goldstein, ‘The Battle for Mon Cala: Getting the Military to Deliver Its Own Tech Solutions’, War On The Rocks, 20 Aug. 2020, https://warontherocks.com/2020/08/the-battle-for-mon-cala-getting-the-military-to-deliver-its-own-tech-solutions/|Griffin, Stuart, ‘Military Innovation Studies: Multidisciplinary or Lacking Discipline?’, Journal of Strategic Studies 40/1/2 (2016), 196–224. DOI:10.1080/01402390.2016.1196358 |Grissom, Andrew, ‘The Future of Military Innovation Studies’, Journal of Strategic Studies 29/5 (Oct. 2006), 905–34. DOI:10.1080/01402390600901067. |Haduch, Thomas W., ‘Maintaining the US Army Research, Development and Engineering Command Prototype Integration Facilities’, Defense Acquisition University Press. May 2014, https://www.dau.edu/training/career-development/sscf/Documents/T.%20HaduchSSCF2014SRPOPSECFINAL.pdf|Harper, Jon, ‘Army to Release New Wish List for Optionally Manned Fighting Vehicle’, National Defense Magazine, 19 Feb. 2020, https://www.nationaldefensemagazine.org/articles/2020/2/19/army-to-release-new-wish-list-for-optionally-manned-fighting-vehicle|Horowitz, Michael C., The Diffusion of Military Power: Causes and Consequences for International Politics (Princeton, NJ: Princeton UP 2010). |Horowitz, Michael, ‘Artificial Intelligence, International Competition, and the Balance of Power’, Texas National Security Review 1/3 (May 2018), 36–57. https://tnsr.org/2018/05/artificial-intelligence-international-competition-and-the-balance-of-power/|Kaeser, Hans Ulrich, ‘The Future Combat System: What Future Can The Army Afford?’, Center for Strategic and International Studies, 5 Feb. 2009. Working draft, https://csis-website-prod.s3.amazonaws.com/s3fs-public/legacy_files/files/media/csis/pubs/090205_fcsarmy.pdf|Kenyon, Henry, ‘Rapid App Response: Marines to Embed Development Teams with Deployed Units’, GCN, 6 Feb. 2012, https://gcn.com/articles/2012/02/06/marine-corps-apps-embedded-development-teams.aspx|Kleinholz, Joshua, ‘AFwerX Vegas Opens New Doors to Innovation’, Air Combat Command, 23 Aug. 2017, https://www.acc.af.mil/News/Article-Display/Article/1288094/afwerx-vegas-opens-new-doors-to-innovation/|Kollars, Nina A., ‘War’s Horizon: Soldier-Led Adaptation in Iraq and Vietnam’, Journal of Strategic Studies 38/4 (2015), 529–53. DOI:10.1080/01402390.2014.971947 |Krazit, Tom, ‘How the US Air Force Deployed Kubernetes and Istio on an F-16 in 45 Days’, The New Stack, 24 Dec. 2019, https://thenewstack.io/how-the-u-s-air-force-deployed-kubernetes-and-istio-on-an-f-16-in-45-days/|Lake, Daniel R., The Pursuit of Technological Superiority and the Shrinking American Military (New York, NY: Palgrave MacMillan 2019). |Lavelle, Sean, ‘The Navy’s Kessel Run’, US Naval Institute, 3 Jan. 2019, https://blog.usni.org/posts/2019/01/03/the-navys-kessel-run|Leonard, Herman, et al., ‘SOFWERX: Innovation at US Special Operations Command’, Harvard Business School Case 819–004, Jul. 2018. (Open in a new window)Google Scholar|Lindsay, Jon R., Information Technology and Military Power (Ithaca, NY: Cornell UP 2020). |Lofgren, Eric, ‘The Future of Navy Software Development with Lt. Sean Lavelle,’ Acquisition Talk (1 Apr. 2020). Audio. (Open in a new window)Google Scholar|Lofgren, Eric, ‘The Last Frontier of Acquisition Reform: The Budget Process’, Conference Paper, Proceedings of the Seventeenth Annual Acquisition Research Symposium, 13-14 May 2020. Prepared for the Naval Postgraduate School, Monterey, CA. (Open in a new window)Google Scholar|Mabus, Ray, ‘Harnessing the Navy’s Culture of Innovation’, Naval Science and Technology Future Force Magazine, 7 Apr. 2015, https://futureforce.navylive.dodlive.mil/2015/04/harnessing-the-navys-culture-of-innovation/|Magnuson, Stew, ‘AUSA NEWS: Army Futures Command Breaking Down Barriers’, National Defense Magazine, 16 Oct. 2019, https://www.nationaldefensemagazine.org/articles/2019/10/16/army-futures-command-breaking-down-barriers|Mahnken, Thomas G., Technology and the American Way of War since 1945 (New York, NY: Columbia UP 2008). (Open in a new window)Google Scholar|Mansoor, Peter R. and Williamson Murray, (eds.), The Culture of Military Organizations (Cambridge: UK: Cambridge UP 2019). |Mayfield, Mandy, ‘Army Futures Command Establishes “Software Factory”’, National Defense Magazine, 21 Aug. 2020, https://www.nationaldefensemagazine.org/articles/2020/8/21/army-futures-command-establishes-software-factory|McCain, John, ‘Opening Statement by SASC Chairman John McCain at Hearing on DoD Nominations’, Office of Senator John McCain, 14 Nov. 2017, https://www.mccain.senate.gov/public/index.cfm/floor-statements?ID=05DCC73A-F9F2-44E8-A75F-236003222AF2|McQuade, J. Michael et al., ‘Software Is Never Done: Refactoring the Acquisition Code for Competitive Advantage’, Defense Innovation Board, 3 May 2019, https://media.defense.gov/2019/May/01/2002126690/-1/-1/0/SWAP%20EXECUTIVE%20SUMMARY.PDF|Miller, Jason, ‘Air Force’s game-changing approach to cloud accreditation, Federal News Network’, 30 Jul. 2020, https://federalnewsnetwork.com/ask-the-cio/2020/07/air-forces-game-changing-approach-to-cloud-accreditation/|Mori, Satoru, ‘US Defense Innovation and Artificial Intelligence’, Asia-Pacific Review 25/2 (2018), 16–44. DOI:10.1080/13439006.2018.1545488 |NavalXAgility, ‘Scaling Agility, Navy Doubles Tech Bridge Locations,’ 13 May 2020, https://www.navy.mil/submit/display.asp?story_id=112953|Neller, Robert B., ‘Strategy for Assured Command and Control: Enabling C2 for Tomorrow’s Marine Corps, Today’, US Marine Corps, Mar. 2017, https://www.hqmc.marines.mil/Portals/61/Marine_Corps_Strategy_for_Assured_Command_and_Control_March_2017.pdf?ver=2017-05-30-160731-940|</v>
      </c>
    </row>
    <row r="60" customFormat="false" ht="270.1" hidden="false" customHeight="false" outlineLevel="0" collapsed="false">
      <c r="A60" s="4" t="s">
        <v>130</v>
      </c>
      <c r="B60" s="3" t="s">
        <v>131</v>
      </c>
      <c r="C60" s="0" t="str">
        <f aca="false">B60&amp;"|"</f>
        <v>Oakley, Shelby S., ‘Defense Acquisitions Annual Assessment: Drive to Deliver Capabilities Faster Increases Importance of Program Knowledge and Consistent Data for Oversight’, Government Accountability Office, Jun. 2020. https://www.gao.gov/assets/710/707359.pdf|</v>
      </c>
      <c r="D60" s="0" t="str">
        <f aca="false">D59&amp;C60</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|Cote, Owen Reid, Jr., ‘The Politics of Innovative Military Doctrine: The US Navy and Fleet Ballistic Missiles’, Doctoral dissertation, Massachusetts Institute of Technology, Feb. 1996. (Open in a new window)Google Scholar|Cronin, Audrey Kurth, Power to the People: How Open Technological Innovation Is Arming Tomorrow’s Terrorists (Oxford: Oxford UP 2020). (Open in a new window)Google Scholar|Department of the Navy, ‘Unmanned Campaign Network’, 16 Mar. 2021, https://www.navy.mil/Portals/1/Strategic/20210315%20Unmanned%20Campaign_Final_LowRes.pdf?ver=LtCZ-BPlWki6vCBTdgtDMA%3D%3D|DiNapoli, Timothy J., ‘DOD’s Use of Other Transactions for Prototype Projects Has Increased’, Government Accountability Office GAO-20–84, Nov. 2019, https://www.gao.gov/assets/710/702861.pdf|Dunn, Richard L., ‘Other Transactions Contracts: Poorly Understood, Little Used’, National Defense Magazine, 15 May 2017, https://www.nationaldefensemagazine.org/articles/2017/5/15/other-transactions-contracts-poorly-understood-little-used|Easley, Matthew P., ‘Army Artificial Intelligence Task Force (AI-TF)’, US Army Futures Command (2019). https://www.clsac.org/uploads/5/0/6/3/50633811/2019-easley-aiml.pdf|Eckhardt, Jonathan T., Michael P. Ciuchta, and Mason Carpenter, ‘Open Innovation, Information, and Entrepreneurship within Platform Ecosystems’, Strategic Entrepreneurship Journal 12 (2018), 369–91. DOI:10.1002/sej.1298 |Eckstein, Megan, ‘Marine Corps Information Community Growing in Capability, Trying to Find Its Place in Joint Operations’, USNI News, 7 Jan. 2020, https://news.usni.org/2020/01/07/marine-corps-information-community-growing-in-capability-trying-to-find-its-place-in-joint-operations|Eversden, Andrew, ‘The Army AI Task Force Takes on Two ‘Key’ Projects’, C4ISRnet, 10 Jun. 2020, https://www.c4isrnet.com/artificial-intelligence/2020/06/10/the-army-ai-task-force-takes-on-two-key-projects/|Farrell, Theo, Sten Rynning, and Terry Terriff, Transforming Military Power since the Cold War: Britain, France, and the United States, 1991–2012 (Cambridge, UK: Cambridge UP 2013). |Feickert, Andrew and Brendan W. McGarry, ‘The Army’s Modernization Strategy: Congressional Oversight Considerations’, Congressional Research Service, 7 Feb. 2020, https://www.everycrsreport.com/files/20200207_R46216_444d93a212c95fd2fba1a596d520ca263a833307.pdf|Feickert, Andrew, ‘The Army’s Future Combat System (FCS): Background and Issues for Congress’, Congressional Research Services, 5 May 2006, https://www.everycrsreport.com/files/20060505_RL32888_bd0c5e4691669243ba6aacea43a6ce91c182246e.pdf|Fiott, Daniel, ‘A Revolution Too Far? US Defence Innovation, Europe and NATO’s Military-Technological Gap’, Journal of Strategic Studies 40/3 (2017), 417–37. DOI:10.1080/01402390.2016.1176565 |Gansler, Jacques, Democracy’s Arsenal: Creating a Twenty-First Century Defense Industry (Cambridge, MA: MIT UP 2011). |Geurts, James F., ‘The Department of the Navy Fiscal Year 2020 Budget Request for Science and Technology Programs’, House Armed Services Committee, 28 Mar. 2019. https://armedservices.house.gov/_cache/files/c/4/c46d8d7f-cade-4487-bae0-f87943aa205e/5AD8EA25BA971C25EF67C083034A43F2.hhrg-116-as26-wstate-geurtsj-20190328.pdf|Gilli, Andrea and Mauro Gilli, ‘Why China Has Not Caught Up Yet: Military-Technological Superiority and the Limits of Imitation, Reverse Engineering, and Cyber Espionage’, International Security 43/3 ( Winter 2018/19), 141–89. DOI:10.1162/isec_a_00337 |Glavy, Matthew G. and Brett Goldstein, ‘The Battle for Mon Cala: Getting the Military to Deliver Its Own Tech Solutions’, War On The Rocks, 20 Aug. 2020, https://warontherocks.com/2020/08/the-battle-for-mon-cala-getting-the-military-to-deliver-its-own-tech-solutions/|Griffin, Stuart, ‘Military Innovation Studies: Multidisciplinary or Lacking Discipline?’, Journal of Strategic Studies 40/1/2 (2016), 196–224. DOI:10.1080/01402390.2016.1196358 |Grissom, Andrew, ‘The Future of Military Innovation Studies’, Journal of Strategic Studies 29/5 (Oct. 2006), 905–34. DOI:10.1080/01402390600901067. |Haduch, Thomas W., ‘Maintaining the US Army Research, Development and Engineering Command Prototype Integration Facilities’, Defense Acquisition University Press. May 2014, https://www.dau.edu/training/career-development/sscf/Documents/T.%20HaduchSSCF2014SRPOPSECFINAL.pdf|Harper, Jon, ‘Army to Release New Wish List for Optionally Manned Fighting Vehicle’, National Defense Magazine, 19 Feb. 2020, https://www.nationaldefensemagazine.org/articles/2020/2/19/army-to-release-new-wish-list-for-optionally-manned-fighting-vehicle|Horowitz, Michael C., The Diffusion of Military Power: Causes and Consequences for International Politics (Princeton, NJ: Princeton UP 2010). |Horowitz, Michael, ‘Artificial Intelligence, International Competition, and the Balance of Power’, Texas National Security Review 1/3 (May 2018), 36–57. https://tnsr.org/2018/05/artificial-intelligence-international-competition-and-the-balance-of-power/|Kaeser, Hans Ulrich, ‘The Future Combat System: What Future Can The Army Afford?’, Center for Strategic and International Studies, 5 Feb. 2009. Working draft, https://csis-website-prod.s3.amazonaws.com/s3fs-public/legacy_files/files/media/csis/pubs/090205_fcsarmy.pdf|Kenyon, Henry, ‘Rapid App Response: Marines to Embed Development Teams with Deployed Units’, GCN, 6 Feb. 2012, https://gcn.com/articles/2012/02/06/marine-corps-apps-embedded-development-teams.aspx|Kleinholz, Joshua, ‘AFwerX Vegas Opens New Doors to Innovation’, Air Combat Command, 23 Aug. 2017, https://www.acc.af.mil/News/Article-Display/Article/1288094/afwerx-vegas-opens-new-doors-to-innovation/|Kollars, Nina A., ‘War’s Horizon: Soldier-Led Adaptation in Iraq and Vietnam’, Journal of Strategic Studies 38/4 (2015), 529–53. DOI:10.1080/01402390.2014.971947 |Krazit, Tom, ‘How the US Air Force Deployed Kubernetes and Istio on an F-16 in 45 Days’, The New Stack, 24 Dec. 2019, https://thenewstack.io/how-the-u-s-air-force-deployed-kubernetes-and-istio-on-an-f-16-in-45-days/|Lake, Daniel R., The Pursuit of Technological Superiority and the Shrinking American Military (New York, NY: Palgrave MacMillan 2019). |Lavelle, Sean, ‘The Navy’s Kessel Run’, US Naval Institute, 3 Jan. 2019, https://blog.usni.org/posts/2019/01/03/the-navys-kessel-run|Leonard, Herman, et al., ‘SOFWERX: Innovation at US Special Operations Command’, Harvard Business School Case 819–004, Jul. 2018. (Open in a new window)Google Scholar|Lindsay, Jon R., Information Technology and Military Power (Ithaca, NY: Cornell UP 2020). |Lofgren, Eric, ‘The Future of Navy Software Development with Lt. Sean Lavelle,’ Acquisition Talk (1 Apr. 2020). Audio. (Open in a new window)Google Scholar|Lofgren, Eric, ‘The Last Frontier of Acquisition Reform: The Budget Process’, Conference Paper, Proceedings of the Seventeenth Annual Acquisition Research Symposium, 13-14 May 2020. Prepared for the Naval Postgraduate School, Monterey, CA. (Open in a new window)Google Scholar|Mabus, Ray, ‘Harnessing the Navy’s Culture of Innovation’, Naval Science and Technology Future Force Magazine, 7 Apr. 2015, https://futureforce.navylive.dodlive.mil/2015/04/harnessing-the-navys-culture-of-innovation/|Magnuson, Stew, ‘AUSA NEWS: Army Futures Command Breaking Down Barriers’, National Defense Magazine, 16 Oct. 2019, https://www.nationaldefensemagazine.org/articles/2019/10/16/army-futures-command-breaking-down-barriers|Mahnken, Thomas G., Technology and the American Way of War since 1945 (New York, NY: Columbia UP 2008). (Open in a new window)Google Scholar|Mansoor, Peter R. and Williamson Murray, (eds.), The Culture of Military Organizations (Cambridge: UK: Cambridge UP 2019). |Mayfield, Mandy, ‘Army Futures Command Establishes “Software Factory”’, National Defense Magazine, 21 Aug. 2020, https://www.nationaldefensemagazine.org/articles/2020/8/21/army-futures-command-establishes-software-factory|McCain, John, ‘Opening Statement by SASC Chairman John McCain at Hearing on DoD Nominations’, Office of Senator John McCain, 14 Nov. 2017, https://www.mccain.senate.gov/public/index.cfm/floor-statements?ID=05DCC73A-F9F2-44E8-A75F-236003222AF2|McQuade, J. Michael et al., ‘Software Is Never Done: Refactoring the Acquisition Code for Competitive Advantage’, Defense Innovation Board, 3 May 2019, https://media.defense.gov/2019/May/01/2002126690/-1/-1/0/SWAP%20EXECUTIVE%20SUMMARY.PDF|Miller, Jason, ‘Air Force’s game-changing approach to cloud accreditation, Federal News Network’, 30 Jul. 2020, https://federalnewsnetwork.com/ask-the-cio/2020/07/air-forces-game-changing-approach-to-cloud-accreditation/|Mori, Satoru, ‘US Defense Innovation and Artificial Intelligence’, Asia-Pacific Review 25/2 (2018), 16–44. DOI:10.1080/13439006.2018.1545488 |NavalXAgility, ‘Scaling Agility, Navy Doubles Tech Bridge Locations,’ 13 May 2020, https://www.navy.mil/submit/display.asp?story_id=112953|Neller, Robert B., ‘Strategy for Assured Command and Control: Enabling C2 for Tomorrow’s Marine Corps, Today’, US Marine Corps, Mar. 2017, https://www.hqmc.marines.mil/Portals/61/Marine_Corps_Strategy_for_Assured_Command_and_Control_March_2017.pdf?ver=2017-05-30-160731-940|Oakley, Shelby S., ‘Defense Acquisitions Annual Assessment: Drive to Deliver Capabilities Faster Increases Importance of Program Knowledge and Consistent Data for Oversight’, Government Accountability Office, Jun. 2020. https://www.gao.gov/assets/710/707359.pdf|</v>
      </c>
    </row>
    <row r="61" customFormat="false" ht="169.4" hidden="false" customHeight="false" outlineLevel="0" collapsed="false">
      <c r="A61" s="4" t="s">
        <v>132</v>
      </c>
      <c r="B61" s="3" t="s">
        <v>133</v>
      </c>
      <c r="C61" s="0" t="str">
        <f aca="false">B61&amp;"|"</f>
        <v>Office of the Secretary of Defense, ‘National Defense Strategy of the United States of America: Sharpening the American Military’s Competitive Edge’, Jan. 2018. (Open in a new window)Google Scholar|</v>
      </c>
      <c r="D61" s="0" t="str">
        <f aca="false">D60&amp;C61</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|Cote, Owen Reid, Jr., ‘The Politics of Innovative Military Doctrine: The US Navy and Fleet Ballistic Missiles’, Doctoral dissertation, Massachusetts Institute of Technology, Feb. 1996. (Open in a new window)Google Scholar|Cronin, Audrey Kurth, Power to the People: How Open Technological Innovation Is Arming Tomorrow’s Terrorists (Oxford: Oxford UP 2020). (Open in a new window)Google Scholar|Department of the Navy, ‘Unmanned Campaign Network’, 16 Mar. 2021, https://www.navy.mil/Portals/1/Strategic/20210315%20Unmanned%20Campaign_Final_LowRes.pdf?ver=LtCZ-BPlWki6vCBTdgtDMA%3D%3D|DiNapoli, Timothy J., ‘DOD’s Use of Other Transactions for Prototype Projects Has Increased’, Government Accountability Office GAO-20–84, Nov. 2019, https://www.gao.gov/assets/710/702861.pdf|Dunn, Richard L., ‘Other Transactions Contracts: Poorly Understood, Little Used’, National Defense Magazine, 15 May 2017, https://www.nationaldefensemagazine.org/articles/2017/5/15/other-transactions-contracts-poorly-understood-little-used|Easley, Matthew P., ‘Army Artificial Intelligence Task Force (AI-TF)’, US Army Futures Command (2019). https://www.clsac.org/uploads/5/0/6/3/50633811/2019-easley-aiml.pdf|Eckhardt, Jonathan T., Michael P. Ciuchta, and Mason Carpenter, ‘Open Innovation, Information, and Entrepreneurship within Platform Ecosystems’, Strategic Entrepreneurship Journal 12 (2018), 369–91. DOI:10.1002/sej.1298 |Eckstein, Megan, ‘Marine Corps Information Community Growing in Capability, Trying to Find Its Place in Joint Operations’, USNI News, 7 Jan. 2020, https://news.usni.org/2020/01/07/marine-corps-information-community-growing-in-capability-trying-to-find-its-place-in-joint-operations|Eversden, Andrew, ‘The Army AI Task Force Takes on Two ‘Key’ Projects’, C4ISRnet, 10 Jun. 2020, https://www.c4isrnet.com/artificial-intelligence/2020/06/10/the-army-ai-task-force-takes-on-two-key-projects/|Farrell, Theo, Sten Rynning, and Terry Terriff, Transforming Military Power since the Cold War: Britain, France, and the United States, 1991–2012 (Cambridge, UK: Cambridge UP 2013). |Feickert, Andrew and Brendan W. McGarry, ‘The Army’s Modernization Strategy: Congressional Oversight Considerations’, Congressional Research Service, 7 Feb. 2020, https://www.everycrsreport.com/files/20200207_R46216_444d93a212c95fd2fba1a596d520ca263a833307.pdf|Feickert, Andrew, ‘The Army’s Future Combat System (FCS): Background and Issues for Congress’, Congressional Research Services, 5 May 2006, https://www.everycrsreport.com/files/20060505_RL32888_bd0c5e4691669243ba6aacea43a6ce91c182246e.pdf|Fiott, Daniel, ‘A Revolution Too Far? US Defence Innovation, Europe and NATO’s Military-Technological Gap’, Journal of Strategic Studies 40/3 (2017), 417–37. DOI:10.1080/01402390.2016.1176565 |Gansler, Jacques, Democracy’s Arsenal: Creating a Twenty-First Century Defense Industry (Cambridge, MA: MIT UP 2011). |Geurts, James F., ‘The Department of the Navy Fiscal Year 2020 Budget Request for Science and Technology Programs’, House Armed Services Committee, 28 Mar. 2019. https://armedservices.house.gov/_cache/files/c/4/c46d8d7f-cade-4487-bae0-f87943aa205e/5AD8EA25BA971C25EF67C083034A43F2.hhrg-116-as26-wstate-geurtsj-20190328.pdf|Gilli, Andrea and Mauro Gilli, ‘Why China Has Not Caught Up Yet: Military-Technological Superiority and the Limits of Imitation, Reverse Engineering, and Cyber Espionage’, International Security 43/3 ( Winter 2018/19), 141–89. DOI:10.1162/isec_a_00337 |Glavy, Matthew G. and Brett Goldstein, ‘The Battle for Mon Cala: Getting the Military to Deliver Its Own Tech Solutions’, War On The Rocks, 20 Aug. 2020, https://warontherocks.com/2020/08/the-battle-for-mon-cala-getting-the-military-to-deliver-its-own-tech-solutions/|Griffin, Stuart, ‘Military Innovation Studies: Multidisciplinary or Lacking Discipline?’, Journal of Strategic Studies 40/1/2 (2016), 196–224. DOI:10.1080/01402390.2016.1196358 |Grissom, Andrew, ‘The Future of Military Innovation Studies’, Journal of Strategic Studies 29/5 (Oct. 2006), 905–34. DOI:10.1080/01402390600901067. |Haduch, Thomas W., ‘Maintaining the US Army Research, Development and Engineering Command Prototype Integration Facilities’, Defense Acquisition University Press. May 2014, https://www.dau.edu/training/career-development/sscf/Documents/T.%20HaduchSSCF2014SRPOPSECFINAL.pdf|Harper, Jon, ‘Army to Release New Wish List for Optionally Manned Fighting Vehicle’, National Defense Magazine, 19 Feb. 2020, https://www.nationaldefensemagazine.org/articles/2020/2/19/army-to-release-new-wish-list-for-optionally-manned-fighting-vehicle|Horowitz, Michael C., The Diffusion of Military Power: Causes and Consequences for International Politics (Princeton, NJ: Princeton UP 2010). |Horowitz, Michael, ‘Artificial Intelligence, International Competition, and the Balance of Power’, Texas National Security Review 1/3 (May 2018), 36–57. https://tnsr.org/2018/05/artificial-intelligence-international-competition-and-the-balance-of-power/|Kaeser, Hans Ulrich, ‘The Future Combat System: What Future Can The Army Afford?’, Center for Strategic and International Studies, 5 Feb. 2009. Working draft, https://csis-website-prod.s3.amazonaws.com/s3fs-public/legacy_files/files/media/csis/pubs/090205_fcsarmy.pdf|Kenyon, Henry, ‘Rapid App Response: Marines to Embed Development Teams with Deployed Units’, GCN, 6 Feb. 2012, https://gcn.com/articles/2012/02/06/marine-corps-apps-embedded-development-teams.aspx|Kleinholz, Joshua, ‘AFwerX Vegas Opens New Doors to Innovation’, Air Combat Command, 23 Aug. 2017, https://www.acc.af.mil/News/Article-Display/Article/1288094/afwerx-vegas-opens-new-doors-to-innovation/|Kollars, Nina A., ‘War’s Horizon: Soldier-Led Adaptation in Iraq and Vietnam’, Journal of Strategic Studies 38/4 (2015), 529–53. DOI:10.1080/01402390.2014.971947 |Krazit, Tom, ‘How the US Air Force Deployed Kubernetes and Istio on an F-16 in 45 Days’, The New Stack, 24 Dec. 2019, https://thenewstack.io/how-the-u-s-air-force-deployed-kubernetes-and-istio-on-an-f-16-in-45-days/|Lake, Daniel R., The Pursuit of Technological Superiority and the Shrinking American Military (New York, NY: Palgrave MacMillan 2019). |Lavelle, Sean, ‘The Navy’s Kessel Run’, US Naval Institute, 3 Jan. 2019, https://blog.usni.org/posts/2019/01/03/the-navys-kessel-run|Leonard, Herman, et al., ‘SOFWERX: Innovation at US Special Operations Command’, Harvard Business School Case 819–004, Jul. 2018. (Open in a new window)Google Scholar|Lindsay, Jon R., Information Technology and Military Power (Ithaca, NY: Cornell UP 2020). |Lofgren, Eric, ‘The Future of Navy Software Development with Lt. Sean Lavelle,’ Acquisition Talk (1 Apr. 2020). Audio. (Open in a new window)Google Scholar|Lofgren, Eric, ‘The Last Frontier of Acquisition Reform: The Budget Process’, Conference Paper, Proceedings of the Seventeenth Annual Acquisition Research Symposium, 13-14 May 2020. Prepared for the Naval Postgraduate School, Monterey, CA. (Open in a new window)Google Scholar|Mabus, Ray, ‘Harnessing the Navy’s Culture of Innovation’, Naval Science and Technology Future Force Magazine, 7 Apr. 2015, https://futureforce.navylive.dodlive.mil/2015/04/harnessing-the-navys-culture-of-innovation/|Magnuson, Stew, ‘AUSA NEWS: Army Futures Command Breaking Down Barriers’, National Defense Magazine, 16 Oct. 2019, https://www.nationaldefensemagazine.org/articles/2019/10/16/army-futures-command-breaking-down-barriers|Mahnken, Thomas G., Technology and the American Way of War since 1945 (New York, NY: Columbia UP 2008). (Open in a new window)Google Scholar|Mansoor, Peter R. and Williamson Murray, (eds.), The Culture of Military Organizations (Cambridge: UK: Cambridge UP 2019). |Mayfield, Mandy, ‘Army Futures Command Establishes “Software Factory”’, National Defense Magazine, 21 Aug. 2020, https://www.nationaldefensemagazine.org/articles/2020/8/21/army-futures-command-establishes-software-factory|McCain, John, ‘Opening Statement by SASC Chairman John McCain at Hearing on DoD Nominations’, Office of Senator John McCain, 14 Nov. 2017, https://www.mccain.senate.gov/public/index.cfm/floor-statements?ID=05DCC73A-F9F2-44E8-A75F-236003222AF2|McQuade, J. Michael et al., ‘Software Is Never Done: Refactoring the Acquisition Code for Competitive Advantage’, Defense Innovation Board, 3 May 2019, https://media.defense.gov/2019/May/01/2002126690/-1/-1/0/SWAP%20EXECUTIVE%20SUMMARY.PDF|Miller, Jason, ‘Air Force’s game-changing approach to cloud accreditation, Federal News Network’, 30 Jul. 2020, https://federalnewsnetwork.com/ask-the-cio/2020/07/air-forces-game-changing-approach-to-cloud-accreditation/|Mori, Satoru, ‘US Defense Innovation and Artificial Intelligence’, Asia-Pacific Review 25/2 (2018), 16–44. DOI:10.1080/13439006.2018.1545488 |NavalXAgility, ‘Scaling Agility, Navy Doubles Tech Bridge Locations,’ 13 May 2020, https://www.navy.mil/submit/display.asp?story_id=112953|Neller, Robert B., ‘Strategy for Assured Command and Control: Enabling C2 for Tomorrow’s Marine Corps, Today’, US Marine Corps, Mar. 2017, https://www.hqmc.marines.mil/Portals/61/Marine_Corps_Strategy_for_Assured_Command_and_Control_March_2017.pdf?ver=2017-05-30-160731-940|Oakley, Shelby S., ‘Defense Acquisitions Annual Assessment: Drive to Deliver Capabilities Faster Increases Importance of Program Knowledge and Consistent Data for Oversight’, Government Accountability Office, Jun. 2020. https://www.gao.gov/assets/710/707359.pdf|Office of the Secretary of Defense, ‘National Defense Strategy of the United States of America: Sharpening the American Military’s Competitive Edge’, Jan. 2018. (Open in a new window)Google Scholar|</v>
      </c>
    </row>
    <row r="62" customFormat="false" ht="158.2" hidden="false" customHeight="false" outlineLevel="0" collapsed="false">
      <c r="A62" s="4" t="s">
        <v>134</v>
      </c>
      <c r="B62" s="3" t="s">
        <v>135</v>
      </c>
      <c r="C62" s="0" t="str">
        <f aca="false">B62&amp;"|"</f>
        <v>Office of the Secretary of the Army, ‘Army Directive 2017–22 (Cross-functional Team Pilot in Support of Materiel Development’, 6 Oct. 2017. (Open in a new window)Google Scholar|</v>
      </c>
      <c r="D62" s="0" t="str">
        <f aca="false">D61&amp;C62</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|Cote, Owen Reid, Jr., ‘The Politics of Innovative Military Doctrine: The US Navy and Fleet Ballistic Missiles’, Doctoral dissertation, Massachusetts Institute of Technology, Feb. 1996. (Open in a new window)Google Scholar|Cronin, Audrey Kurth, Power to the People: How Open Technological Innovation Is Arming Tomorrow’s Terrorists (Oxford: Oxford UP 2020). (Open in a new window)Google Scholar|Department of the Navy, ‘Unmanned Campaign Network’, 16 Mar. 2021, https://www.navy.mil/Portals/1/Strategic/20210315%20Unmanned%20Campaign_Final_LowRes.pdf?ver=LtCZ-BPlWki6vCBTdgtDMA%3D%3D|DiNapoli, Timothy J., ‘DOD’s Use of Other Transactions for Prototype Projects Has Increased’, Government Accountability Office GAO-20–84, Nov. 2019, https://www.gao.gov/assets/710/702861.pdf|Dunn, Richard L., ‘Other Transactions Contracts: Poorly Understood, Little Used’, National Defense Magazine, 15 May 2017, https://www.nationaldefensemagazine.org/articles/2017/5/15/other-transactions-contracts-poorly-understood-little-used|Easley, Matthew P., ‘Army Artificial Intelligence Task Force (AI-TF)’, US Army Futures Command (2019). https://www.clsac.org/uploads/5/0/6/3/50633811/2019-easley-aiml.pdf|Eckhardt, Jonathan T., Michael P. Ciuchta, and Mason Carpenter, ‘Open Innovation, Information, and Entrepreneurship within Platform Ecosystems’, Strategic Entrepreneurship Journal 12 (2018), 369–91. DOI:10.1002/sej.1298 |Eckstein, Megan, ‘Marine Corps Information Community Growing in Capability, Trying to Find Its Place in Joint Operations’, USNI News, 7 Jan. 2020, https://news.usni.org/2020/01/07/marine-corps-information-community-growing-in-capability-trying-to-find-its-place-in-joint-operations|Eversden, Andrew, ‘The Army AI Task Force Takes on Two ‘Key’ Projects’, C4ISRnet, 10 Jun. 2020, https://www.c4isrnet.com/artificial-intelligence/2020/06/10/the-army-ai-task-force-takes-on-two-key-projects/|Farrell, Theo, Sten Rynning, and Terry Terriff, Transforming Military Power since the Cold War: Britain, France, and the United States, 1991–2012 (Cambridge, UK: Cambridge UP 2013). |Feickert, Andrew and Brendan W. McGarry, ‘The Army’s Modernization Strategy: Congressional Oversight Considerations’, Congressional Research Service, 7 Feb. 2020, https://www.everycrsreport.com/files/20200207_R46216_444d93a212c95fd2fba1a596d520ca263a833307.pdf|Feickert, Andrew, ‘The Army’s Future Combat System (FCS): Background and Issues for Congress’, Congressional Research Services, 5 May 2006, https://www.everycrsreport.com/files/20060505_RL32888_bd0c5e4691669243ba6aacea43a6ce91c182246e.pdf|Fiott, Daniel, ‘A Revolution Too Far? US Defence Innovation, Europe and NATO’s Military-Technological Gap’, Journal of Strategic Studies 40/3 (2017), 417–37. DOI:10.1080/01402390.2016.1176565 |Gansler, Jacques, Democracy’s Arsenal: Creating a Twenty-First Century Defense Industry (Cambridge, MA: MIT UP 2011). |Geurts, James F., ‘The Department of the Navy Fiscal Year 2020 Budget Request for Science and Technology Programs’, House Armed Services Committee, 28 Mar. 2019. https://armedservices.house.gov/_cache/files/c/4/c46d8d7f-cade-4487-bae0-f87943aa205e/5AD8EA25BA971C25EF67C083034A43F2.hhrg-116-as26-wstate-geurtsj-20190328.pdf|Gilli, Andrea and Mauro Gilli, ‘Why China Has Not Caught Up Yet: Military-Technological Superiority and the Limits of Imitation, Reverse Engineering, and Cyber Espionage’, International Security 43/3 ( Winter 2018/19), 141–89. DOI:10.1162/isec_a_00337 |Glavy, Matthew G. and Brett Goldstein, ‘The Battle for Mon Cala: Getting the Military to Deliver Its Own Tech Solutions’, War On The Rocks, 20 Aug. 2020, https://warontherocks.com/2020/08/the-battle-for-mon-cala-getting-the-military-to-deliver-its-own-tech-solutions/|Griffin, Stuart, ‘Military Innovation Studies: Multidisciplinary or Lacking Discipline?’, Journal of Strategic Studies 40/1/2 (2016), 196–224. DOI:10.1080/01402390.2016.1196358 |Grissom, Andrew, ‘The Future of Military Innovation Studies’, Journal of Strategic Studies 29/5 (Oct. 2006), 905–34. DOI:10.1080/01402390600901067. |Haduch, Thomas W., ‘Maintaining the US Army Research, Development and Engineering Command Prototype Integration Facilities’, Defense Acquisition University Press. May 2014, https://www.dau.edu/training/career-development/sscf/Documents/T.%20HaduchSSCF2014SRPOPSECFINAL.pdf|Harper, Jon, ‘Army to Release New Wish List for Optionally Manned Fighting Vehicle’, National Defense Magazine, 19 Feb. 2020, https://www.nationaldefensemagazine.org/articles/2020/2/19/army-to-release-new-wish-list-for-optionally-manned-fighting-vehicle|Horowitz, Michael C., The Diffusion of Military Power: Causes and Consequences for International Politics (Princeton, NJ: Princeton UP 2010). |Horowitz, Michael, ‘Artificial Intelligence, International Competition, and the Balance of Power’, Texas National Security Review 1/3 (May 2018), 36–57. https://tnsr.org/2018/05/artificial-intelligence-international-competition-and-the-balance-of-power/|Kaeser, Hans Ulrich, ‘The Future Combat System: What Future Can The Army Afford?’, Center for Strategic and International Studies, 5 Feb. 2009. Working draft, https://csis-website-prod.s3.amazonaws.com/s3fs-public/legacy_files/files/media/csis/pubs/090205_fcsarmy.pdf|Kenyon, Henry, ‘Rapid App Response: Marines to Embed Development Teams with Deployed Units’, GCN, 6 Feb. 2012, https://gcn.com/articles/2012/02/06/marine-corps-apps-embedded-development-teams.aspx|Kleinholz, Joshua, ‘AFwerX Vegas Opens New Doors to Innovation’, Air Combat Command, 23 Aug. 2017, https://www.acc.af.mil/News/Article-Display/Article/1288094/afwerx-vegas-opens-new-doors-to-innovation/|Kollars, Nina A., ‘War’s Horizon: Soldier-Led Adaptation in Iraq and Vietnam’, Journal of Strategic Studies 38/4 (2015), 529–53. DOI:10.1080/01402390.2014.971947 |Krazit, Tom, ‘How the US Air Force Deployed Kubernetes and Istio on an F-16 in 45 Days’, The New Stack, 24 Dec. 2019, https://thenewstack.io/how-the-u-s-air-force-deployed-kubernetes-and-istio-on-an-f-16-in-45-days/|Lake, Daniel R., The Pursuit of Technological Superiority and the Shrinking American Military (New York, NY: Palgrave MacMillan 2019). |Lavelle, Sean, ‘The Navy’s Kessel Run’, US Naval Institute, 3 Jan. 2019, https://blog.usni.org/posts/2019/01/03/the-navys-kessel-run|Leonard, Herman, et al., ‘SOFWERX: Innovation at US Special Operations Command’, Harvard Business School Case 819–004, Jul. 2018. (Open in a new window)Google Scholar|Lindsay, Jon R., Information Technology and Military Power (Ithaca, NY: Cornell UP 2020). |Lofgren, Eric, ‘The Future of Navy Software Development with Lt. Sean Lavelle,’ Acquisition Talk (1 Apr. 2020). Audio. (Open in a new window)Google Scholar|Lofgren, Eric, ‘The Last Frontier of Acquisition Reform: The Budget Process’, Conference Paper, Proceedings of the Seventeenth Annual Acquisition Research Symposium, 13-14 May 2020. Prepared for the Naval Postgraduate School, Monterey, CA. (Open in a new window)Google Scholar|Mabus, Ray, ‘Harnessing the Navy’s Culture of Innovation’, Naval Science and Technology Future Force Magazine, 7 Apr. 2015, https://futureforce.navylive.dodlive.mil/2015/04/harnessing-the-navys-culture-of-innovation/|Magnuson, Stew, ‘AUSA NEWS: Army Futures Command Breaking Down Barriers’, National Defense Magazine, 16 Oct. 2019, https://www.nationaldefensemagazine.org/articles/2019/10/16/army-futures-command-breaking-down-barriers|Mahnken, Thomas G., Technology and the American Way of War since 1945 (New York, NY: Columbia UP 2008). (Open in a new window)Google Scholar|Mansoor, Peter R. and Williamson Murray, (eds.), The Culture of Military Organizations (Cambridge: UK: Cambridge UP 2019). |Mayfield, Mandy, ‘Army Futures Command Establishes “Software Factory”’, National Defense Magazine, 21 Aug. 2020, https://www.nationaldefensemagazine.org/articles/2020/8/21/army-futures-command-establishes-software-factory|McCain, John, ‘Opening Statement by SASC Chairman John McCain at Hearing on DoD Nominations’, Office of Senator John McCain, 14 Nov. 2017, https://www.mccain.senate.gov/public/index.cfm/floor-statements?ID=05DCC73A-F9F2-44E8-A75F-236003222AF2|McQuade, J. Michael et al., ‘Software Is Never Done: Refactoring the Acquisition Code for Competitive Advantage’, Defense Innovation Board, 3 May 2019, https://media.defense.gov/2019/May/01/2002126690/-1/-1/0/SWAP%20EXECUTIVE%20SUMMARY.PDF|Miller, Jason, ‘Air Force’s game-changing approach to cloud accreditation, Federal News Network’, 30 Jul. 2020, https://federalnewsnetwork.com/ask-the-cio/2020/07/air-forces-game-changing-approach-to-cloud-accreditation/|Mori, Satoru, ‘US Defense Innovation and Artificial Intelligence’, Asia-Pacific Review 25/2 (2018), 16–44. DOI:10.1080/13439006.2018.1545488 |NavalXAgility, ‘Scaling Agility, Navy Doubles Tech Bridge Locations,’ 13 May 2020, https://www.navy.mil/submit/display.asp?story_id=112953|Neller, Robert B., ‘Strategy for Assured Command and Control: Enabling C2 for Tomorrow’s Marine Corps, Today’, US Marine Corps, Mar. 2017, https://www.hqmc.marines.mil/Portals/61/Marine_Corps_Strategy_for_Assured_Command_and_Control_March_2017.pdf?ver=2017-05-30-160731-940|Oakley, Shelby S., ‘Defense Acquisitions Annual Assessment: Drive to Deliver Capabilities Faster Increases Importance of Program Knowledge and Consistent Data for Oversight’, Government Accountability Office, Jun. 2020. https://www.gao.gov/assets/710/707359.pdf|Office of the Secretary of Defense, ‘National Defense Strategy of the United States of America: Sharpening the American Military’s Competitive Edge’, Jan. 2018. (Open in a new window)Google Scholar|Office of the Secretary of the Army, ‘Army Directive 2017–22 (Cross-functional Team Pilot in Support of Materiel Development’, 6 Oct. 2017. (Open in a new window)Google Scholar|</v>
      </c>
    </row>
    <row r="63" customFormat="false" ht="214.15" hidden="false" customHeight="false" outlineLevel="0" collapsed="false">
      <c r="A63" s="4" t="s">
        <v>136</v>
      </c>
      <c r="B63" s="3" t="s">
        <v>137</v>
      </c>
      <c r="C63" s="0" t="str">
        <f aca="false">B63&amp;"|"</f>
        <v>Perez, Tony and Adam Welch, ‘AFWERX Spark’, in Brian Maue (ed..), Empowering Next Generation Innovators and Innovations (Arlington, VA: AFWERX 2020), 37–49. https://www.afwerx.af.mil/resources/AFWERX-Book.pdf|</v>
      </c>
      <c r="D63" s="0" t="str">
        <f aca="false">D62&amp;C63</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|Cote, Owen Reid, Jr., ‘The Politics of Innovative Military Doctrine: The US Navy and Fleet Ballistic Missiles’, Doctoral dissertation, Massachusetts Institute of Technology, Feb. 1996. (Open in a new window)Google Scholar|Cronin, Audrey Kurth, Power to the People: How Open Technological Innovation Is Arming Tomorrow’s Terrorists (Oxford: Oxford UP 2020). (Open in a new window)Google Scholar|Department of the Navy, ‘Unmanned Campaign Network’, 16 Mar. 2021, https://www.navy.mil/Portals/1/Strategic/20210315%20Unmanned%20Campaign_Final_LowRes.pdf?ver=LtCZ-BPlWki6vCBTdgtDMA%3D%3D|DiNapoli, Timothy J., ‘DOD’s Use of Other Transactions for Prototype Projects Has Increased’, Government Accountability Office GAO-20–84, Nov. 2019, https://www.gao.gov/assets/710/702861.pdf|Dunn, Richard L., ‘Other Transactions Contracts: Poorly Understood, Little Used’, National Defense Magazine, 15 May 2017, https://www.nationaldefensemagazine.org/articles/2017/5/15/other-transactions-contracts-poorly-understood-little-used|Easley, Matthew P., ‘Army Artificial Intelligence Task Force (AI-TF)’, US Army Futures Command (2019). https://www.clsac.org/uploads/5/0/6/3/50633811/2019-easley-aiml.pdf|Eckhardt, Jonathan T., Michael P. Ciuchta, and Mason Carpenter, ‘Open Innovation, Information, and Entrepreneurship within Platform Ecosystems’, Strategic Entrepreneurship Journal 12 (2018), 369–91. DOI:10.1002/sej.1298 |Eckstein, Megan, ‘Marine Corps Information Community Growing in Capability, Trying to Find Its Place in Joint Operations’, USNI News, 7 Jan. 2020, https://news.usni.org/2020/01/07/marine-corps-information-community-growing-in-capability-trying-to-find-its-place-in-joint-operations|Eversden, Andrew, ‘The Army AI Task Force Takes on Two ‘Key’ Projects’, C4ISRnet, 10 Jun. 2020, https://www.c4isrnet.com/artificial-intelligence/2020/06/10/the-army-ai-task-force-takes-on-two-key-projects/|Farrell, Theo, Sten Rynning, and Terry Terriff, Transforming Military Power since the Cold War: Britain, France, and the United States, 1991–2012 (Cambridge, UK: Cambridge UP 2013). |Feickert, Andrew and Brendan W. McGarry, ‘The Army’s Modernization Strategy: Congressional Oversight Considerations’, Congressional Research Service, 7 Feb. 2020, https://www.everycrsreport.com/files/20200207_R46216_444d93a212c95fd2fba1a596d520ca263a833307.pdf|Feickert, Andrew, ‘The Army’s Future Combat System (FCS): Background and Issues for Congress’, Congressional Research Services, 5 May 2006, https://www.everycrsreport.com/files/20060505_RL32888_bd0c5e4691669243ba6aacea43a6ce91c182246e.pdf|Fiott, Daniel, ‘A Revolution Too Far? US Defence Innovation, Europe and NATO’s Military-Technological Gap’, Journal of Strategic Studies 40/3 (2017), 417–37. DOI:10.1080/01402390.2016.1176565 |Gansler, Jacques, Democracy’s Arsenal: Creating a Twenty-First Century Defense Industry (Cambridge, MA: MIT UP 2011). |Geurts, James F., ‘The Department of the Navy Fiscal Year 2020 Budget Request for Science and Technology Programs’, House Armed Services Committee, 28 Mar. 2019. https://armedservices.house.gov/_cache/files/c/4/c46d8d7f-cade-4487-bae0-f87943aa205e/5AD8EA25BA971C25EF67C083034A43F2.hhrg-116-as26-wstate-geurtsj-20190328.pdf|Gilli, Andrea and Mauro Gilli, ‘Why China Has Not Caught Up Yet: Military-Technological Superiority and the Limits of Imitation, Reverse Engineering, and Cyber Espionage’, International Security 43/3 ( Winter 2018/19), 141–89. DOI:10.1162/isec_a_00337 |Glavy, Matthew G. and Brett Goldstein, ‘The Battle for Mon Cala: Getting the Military to Deliver Its Own Tech Solutions’, War On The Rocks, 20 Aug. 2020, https://warontherocks.com/2020/08/the-battle-for-mon-cala-getting-the-military-to-deliver-its-own-tech-solutions/|Griffin, Stuart, ‘Military Innovation Studies: Multidisciplinary or Lacking Discipline?’, Journal of Strategic Studies 40/1/2 (2016), 196–224. DOI:10.1080/01402390.2016.1196358 |Grissom, Andrew, ‘The Future of Military Innovation Studies’, Journal of Strategic Studies 29/5 (Oct. 2006), 905–34. DOI:10.1080/01402390600901067. |Haduch, Thomas W., ‘Maintaining the US Army Research, Development and Engineering Command Prototype Integration Facilities’, Defense Acquisition University Press. May 2014, https://www.dau.edu/training/career-development/sscf/Documents/T.%20HaduchSSCF2014SRPOPSECFINAL.pdf|Harper, Jon, ‘Army to Release New Wish List for Optionally Manned Fighting Vehicle’, National Defense Magazine, 19 Feb. 2020, https://www.nationaldefensemagazine.org/articles/2020/2/19/army-to-release-new-wish-list-for-optionally-manned-fighting-vehicle|Horowitz, Michael C., The Diffusion of Military Power: Causes and Consequences for International Politics (Princeton, NJ: Princeton UP 2010). |Horowitz, Michael, ‘Artificial Intelligence, International Competition, and the Balance of Power’, Texas National Security Review 1/3 (May 2018), 36–57. https://tnsr.org/2018/05/artificial-intelligence-international-competition-and-the-balance-of-power/|Kaeser, Hans Ulrich, ‘The Future Combat System: What Future Can The Army Afford?’, Center for Strategic and International Studies, 5 Feb. 2009. Working draft, https://csis-website-prod.s3.amazonaws.com/s3fs-public/legacy_files/files/media/csis/pubs/090205_fcsarmy.pdf|Kenyon, Henry, ‘Rapid App Response: Marines to Embed Development Teams with Deployed Units’, GCN, 6 Feb. 2012, https://gcn.com/articles/2012/02/06/marine-corps-apps-embedded-development-teams.aspx|Kleinholz, Joshua, ‘AFwerX Vegas Opens New Doors to Innovation’, Air Combat Command, 23 Aug. 2017, https://www.acc.af.mil/News/Article-Display/Article/1288094/afwerx-vegas-opens-new-doors-to-innovation/|Kollars, Nina A., ‘War’s Horizon: Soldier-Led Adaptation in Iraq and Vietnam’, Journal of Strategic Studies 38/4 (2015), 529–53. DOI:10.1080/01402390.2014.971947 |Krazit, Tom, ‘How the US Air Force Deployed Kubernetes and Istio on an F-16 in 45 Days’, The New Stack, 24 Dec. 2019, https://thenewstack.io/how-the-u-s-air-force-deployed-kubernetes-and-istio-on-an-f-16-in-45-days/|Lake, Daniel R., The Pursuit of Technological Superiority and the Shrinking American Military (New York, NY: Palgrave MacMillan 2019). |Lavelle, Sean, ‘The Navy’s Kessel Run’, US Naval Institute, 3 Jan. 2019, https://blog.usni.org/posts/2019/01/03/the-navys-kessel-run|Leonard, Herman, et al., ‘SOFWERX: Innovation at US Special Operations Command’, Harvard Business School Case 819–004, Jul. 2018. (Open in a new window)Google Scholar|Lindsay, Jon R., Information Technology and Military Power (Ithaca, NY: Cornell UP 2020). |Lofgren, Eric, ‘The Future of Navy Software Development with Lt. Sean Lavelle,’ Acquisition Talk (1 Apr. 2020). Audio. (Open in a new window)Google Scholar|Lofgren, Eric, ‘The Last Frontier of Acquisition Reform: The Budget Process’, Conference Paper, Proceedings of the Seventeenth Annual Acquisition Research Symposium, 13-14 May 2020. Prepared for the Naval Postgraduate School, Monterey, CA. (Open in a new window)Google Scholar|Mabus, Ray, ‘Harnessing the Navy’s Culture of Innovation’, Naval Science and Technology Future Force Magazine, 7 Apr. 2015, https://futureforce.navylive.dodlive.mil/2015/04/harnessing-the-navys-culture-of-innovation/|Magnuson, Stew, ‘AUSA NEWS: Army Futures Command Breaking Down Barriers’, National Defense Magazine, 16 Oct. 2019, https://www.nationaldefensemagazine.org/articles/2019/10/16/army-futures-command-breaking-down-barriers|Mahnken, Thomas G., Technology and the American Way of War since 1945 (New York, NY: Columbia UP 2008). (Open in a new window)Google Scholar|Mansoor, Peter R. and Williamson Murray, (eds.), The Culture of Military Organizations (Cambridge: UK: Cambridge UP 2019). |Mayfield, Mandy, ‘Army Futures Command Establishes “Software Factory”’, National Defense Magazine, 21 Aug. 2020, https://www.nationaldefensemagazine.org/articles/2020/8/21/army-futures-command-establishes-software-factory|McCain, John, ‘Opening Statement by SASC Chairman John McCain at Hearing on DoD Nominations’, Office of Senator John McCain, 14 Nov. 2017, https://www.mccain.senate.gov/public/index.cfm/floor-statements?ID=05DCC73A-F9F2-44E8-A75F-236003222AF2|McQuade, J. Michael et al., ‘Software Is Never Done: Refactoring the Acquisition Code for Competitive Advantage’, Defense Innovation Board, 3 May 2019, https://media.defense.gov/2019/May/01/2002126690/-1/-1/0/SWAP%20EXECUTIVE%20SUMMARY.PDF|Miller, Jason, ‘Air Force’s game-changing approach to cloud accreditation, Federal News Network’, 30 Jul. 2020, https://federalnewsnetwork.com/ask-the-cio/2020/07/air-forces-game-changing-approach-to-cloud-accreditation/|Mori, Satoru, ‘US Defense Innovation and Artificial Intelligence’, Asia-Pacific Review 25/2 (2018), 16–44. DOI:10.1080/13439006.2018.1545488 |NavalXAgility, ‘Scaling Agility, Navy Doubles Tech Bridge Locations,’ 13 May 2020, https://www.navy.mil/submit/display.asp?story_id=112953|Neller, Robert B., ‘Strategy for Assured Command and Control: Enabling C2 for Tomorrow’s Marine Corps, Today’, US Marine Corps, Mar. 2017, https://www.hqmc.marines.mil/Portals/61/Marine_Corps_Strategy_for_Assured_Command_and_Control_March_2017.pdf?ver=2017-05-30-160731-940|Oakley, Shelby S., ‘Defense Acquisitions Annual Assessment: Drive to Deliver Capabilities Faster Increases Importance of Program Knowledge and Consistent Data for Oversight’, Government Accountability Office, Jun. 2020. https://www.gao.gov/assets/710/707359.pdf|Office of the Secretary of Defense, ‘National Defense Strategy of the United States of America: Sharpening the American Military’s Competitive Edge’, Jan. 2018. (Open in a new window)Google Scholar|Office of the Secretary of the Army, ‘Army Directive 2017–22 (Cross-functional Team Pilot in Support of Materiel Development’, 6 Oct. 2017. (Open in a new window)Google Scholar|Perez, Tony and Adam Welch, ‘AFWERX Spark’, in Brian Maue (ed..), Empowering Next Generation Innovators and Innovations (Arlington, VA: AFWERX 2020), 37–49. https://www.afwerx.af.mil/resources/AFWERX-Book.pdf|</v>
      </c>
    </row>
    <row r="64" customFormat="false" ht="135.8" hidden="false" customHeight="false" outlineLevel="0" collapsed="false">
      <c r="A64" s="4" t="s">
        <v>138</v>
      </c>
      <c r="B64" s="3" t="s">
        <v>139</v>
      </c>
      <c r="C64" s="0" t="str">
        <f aca="false">B64&amp;"|"</f>
        <v>Pierce, Terry, ‘The Navy Needs a New Engine of Innovation’, Proceedings Magazine 144/11/1389 (Nov 2018). https://www.usni.org/magazines/proceedings/2018/november/navy-needs-new-engine-innovation|</v>
      </c>
      <c r="D64" s="0" t="str">
        <f aca="false">D63&amp;C64</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|Cote, Owen Reid, Jr., ‘The Politics of Innovative Military Doctrine: The US Navy and Fleet Ballistic Missiles’, Doctoral dissertation, Massachusetts Institute of Technology, Feb. 1996. (Open in a new window)Google Scholar|Cronin, Audrey Kurth, Power to the People: How Open Technological Innovation Is Arming Tomorrow’s Terrorists (Oxford: Oxford UP 2020). (Open in a new window)Google Scholar|Department of the Navy, ‘Unmanned Campaign Network’, 16 Mar. 2021, https://www.navy.mil/Portals/1/Strategic/20210315%20Unmanned%20Campaign_Final_LowRes.pdf?ver=LtCZ-BPlWki6vCBTdgtDMA%3D%3D|DiNapoli, Timothy J., ‘DOD’s Use of Other Transactions for Prototype Projects Has Increased’, Government Accountability Office GAO-20–84, Nov. 2019, https://www.gao.gov/assets/710/702861.pdf|Dunn, Richard L., ‘Other Transactions Contracts: Poorly Understood, Little Used’, National Defense Magazine, 15 May 2017, https://www.nationaldefensemagazine.org/articles/2017/5/15/other-transactions-contracts-poorly-understood-little-used|Easley, Matthew P., ‘Army Artificial Intelligence Task Force (AI-TF)’, US Army Futures Command (2019). https://www.clsac.org/uploads/5/0/6/3/50633811/2019-easley-aiml.pdf|Eckhardt, Jonathan T., Michael P. Ciuchta, and Mason Carpenter, ‘Open Innovation, Information, and Entrepreneurship within Platform Ecosystems’, Strategic Entrepreneurship Journal 12 (2018), 369–91. DOI:10.1002/sej.1298 |Eckstein, Megan, ‘Marine Corps Information Community Growing in Capability, Trying to Find Its Place in Joint Operations’, USNI News, 7 Jan. 2020, https://news.usni.org/2020/01/07/marine-corps-information-community-growing-in-capability-trying-to-find-its-place-in-joint-operations|Eversden, Andrew, ‘The Army AI Task Force Takes on Two ‘Key’ Projects’, C4ISRnet, 10 Jun. 2020, https://www.c4isrnet.com/artificial-intelligence/2020/06/10/the-army-ai-task-force-takes-on-two-key-projects/|Farrell, Theo, Sten Rynning, and Terry Terriff, Transforming Military Power since the Cold War: Britain, France, and the United States, 1991–2012 (Cambridge, UK: Cambridge UP 2013). |Feickert, Andrew and Brendan W. McGarry, ‘The Army’s Modernization Strategy: Congressional Oversight Considerations’, Congressional Research Service, 7 Feb. 2020, https://www.everycrsreport.com/files/20200207_R46216_444d93a212c95fd2fba1a596d520ca263a833307.pdf|Feickert, Andrew, ‘The Army’s Future Combat System (FCS): Background and Issues for Congress’, Congressional Research Services, 5 May 2006, https://www.everycrsreport.com/files/20060505_RL32888_bd0c5e4691669243ba6aacea43a6ce91c182246e.pdf|Fiott, Daniel, ‘A Revolution Too Far? US Defence Innovation, Europe and NATO’s Military-Technological Gap’, Journal of Strategic Studies 40/3 (2017), 417–37. DOI:10.1080/01402390.2016.1176565 |Gansler, Jacques, Democracy’s Arsenal: Creating a Twenty-First Century Defense Industry (Cambridge, MA: MIT UP 2011). |Geurts, James F., ‘The Department of the Navy Fiscal Year 2020 Budget Request for Science and Technology Programs’, House Armed Services Committee, 28 Mar. 2019. https://armedservices.house.gov/_cache/files/c/4/c46d8d7f-cade-4487-bae0-f87943aa205e/5AD8EA25BA971C25EF67C083034A43F2.hhrg-116-as26-wstate-geurtsj-20190328.pdf|Gilli, Andrea and Mauro Gilli, ‘Why China Has Not Caught Up Yet: Military-Technological Superiority and the Limits of Imitation, Reverse Engineering, and Cyber Espionage’, International Security 43/3 ( Winter 2018/19), 141–89. DOI:10.1162/isec_a_00337 |Glavy, Matthew G. and Brett Goldstein, ‘The Battle for Mon Cala: Getting the Military to Deliver Its Own Tech Solutions’, War On The Rocks, 20 Aug. 2020, https://warontherocks.com/2020/08/the-battle-for-mon-cala-getting-the-military-to-deliver-its-own-tech-solutions/|Griffin, Stuart, ‘Military Innovation Studies: Multidisciplinary or Lacking Discipline?’, Journal of Strategic Studies 40/1/2 (2016), 196–224. DOI:10.1080/01402390.2016.1196358 |Grissom, Andrew, ‘The Future of Military Innovation Studies’, Journal of Strategic Studies 29/5 (Oct. 2006), 905–34. DOI:10.1080/01402390600901067. |Haduch, Thomas W., ‘Maintaining the US Army Research, Development and Engineering Command Prototype Integration Facilities’, Defense Acquisition University Press. May 2014, https://www.dau.edu/training/career-development/sscf/Documents/T.%20HaduchSSCF2014SRPOPSECFINAL.pdf|Harper, Jon, ‘Army to Release New Wish List for Optionally Manned Fighting Vehicle’, National Defense Magazine, 19 Feb. 2020, https://www.nationaldefensemagazine.org/articles/2020/2/19/army-to-release-new-wish-list-for-optionally-manned-fighting-vehicle|Horowitz, Michael C., The Diffusion of Military Power: Causes and Consequences for International Politics (Princeton, NJ: Princeton UP 2010). |Horowitz, Michael, ‘Artificial Intelligence, International Competition, and the Balance of Power’, Texas National Security Review 1/3 (May 2018), 36–57. https://tnsr.org/2018/05/artificial-intelligence-international-competition-and-the-balance-of-power/|Kaeser, Hans Ulrich, ‘The Future Combat System: What Future Can The Army Afford?’, Center for Strategic and International Studies, 5 Feb. 2009. Working draft, https://csis-website-prod.s3.amazonaws.com/s3fs-public/legacy_files/files/media/csis/pubs/090205_fcsarmy.pdf|Kenyon, Henry, ‘Rapid App Response: Marines to Embed Development Teams with Deployed Units’, GCN, 6 Feb. 2012, https://gcn.com/articles/2012/02/06/marine-corps-apps-embedded-development-teams.aspx|Kleinholz, Joshua, ‘AFwerX Vegas Opens New Doors to Innovation’, Air Combat Command, 23 Aug. 2017, https://www.acc.af.mil/News/Article-Display/Article/1288094/afwerx-vegas-opens-new-doors-to-innovation/|Kollars, Nina A., ‘War’s Horizon: Soldier-Led Adaptation in Iraq and Vietnam’, Journal of Strategic Studies 38/4 (2015), 529–53. DOI:10.1080/01402390.2014.971947 |Krazit, Tom, ‘How the US Air Force Deployed Kubernetes and Istio on an F-16 in 45 Days’, The New Stack, 24 Dec. 2019, https://thenewstack.io/how-the-u-s-air-force-deployed-kubernetes-and-istio-on-an-f-16-in-45-days/|Lake, Daniel R., The Pursuit of Technological Superiority and the Shrinking American Military (New York, NY: Palgrave MacMillan 2019). |Lavelle, Sean, ‘The Navy’s Kessel Run’, US Naval Institute, 3 Jan. 2019, https://blog.usni.org/posts/2019/01/03/the-navys-kessel-run|Leonard, Herman, et al., ‘SOFWERX: Innovation at US Special Operations Command’, Harvard Business School Case 819–004, Jul. 2018. (Open in a new window)Google Scholar|Lindsay, Jon R., Information Technology and Military Power (Ithaca, NY: Cornell UP 2020). |Lofgren, Eric, ‘The Future of Navy Software Development with Lt. Sean Lavelle,’ Acquisition Talk (1 Apr. 2020). Audio. (Open in a new window)Google Scholar|Lofgren, Eric, ‘The Last Frontier of Acquisition Reform: The Budget Process’, Conference Paper, Proceedings of the Seventeenth Annual Acquisition Research Symposium, 13-14 May 2020. Prepared for the Naval Postgraduate School, Monterey, CA. (Open in a new window)Google Scholar|Mabus, Ray, ‘Harnessing the Navy’s Culture of Innovation’, Naval Science and Technology Future Force Magazine, 7 Apr. 2015, https://futureforce.navylive.dodlive.mil/2015/04/harnessing-the-navys-culture-of-innovation/|Magnuson, Stew, ‘AUSA NEWS: Army Futures Command Breaking Down Barriers’, National Defense Magazine, 16 Oct. 2019, https://www.nationaldefensemagazine.org/articles/2019/10/16/army-futures-command-breaking-down-barriers|Mahnken, Thomas G., Technology and the American Way of War since 1945 (New York, NY: Columbia UP 2008). (Open in a new window)Google Scholar|Mansoor, Peter R. and Williamson Murray, (eds.), The Culture of Military Organizations (Cambridge: UK: Cambridge UP 2019). |Mayfield, Mandy, ‘Army Futures Command Establishes “Software Factory”’, National Defense Magazine, 21 Aug. 2020, https://www.nationaldefensemagazine.org/articles/2020/8/21/army-futures-command-establishes-software-factory|McCain, John, ‘Opening Statement by SASC Chairman John McCain at Hearing on DoD Nominations’, Office of Senator John McCain, 14 Nov. 2017, https://www.mccain.senate.gov/public/index.cfm/floor-statements?ID=05DCC73A-F9F2-44E8-A75F-236003222AF2|McQuade, J. Michael et al., ‘Software Is Never Done: Refactoring the Acquisition Code for Competitive Advantage’, Defense Innovation Board, 3 May 2019, https://media.defense.gov/2019/May/01/2002126690/-1/-1/0/SWAP%20EXECUTIVE%20SUMMARY.PDF|Miller, Jason, ‘Air Force’s game-changing approach to cloud accreditation, Federal News Network’, 30 Jul. 2020, https://federalnewsnetwork.com/ask-the-cio/2020/07/air-forces-game-changing-approach-to-cloud-accreditation/|Mori, Satoru, ‘US Defense Innovation and Artificial Intelligence’, Asia-Pacific Review 25/2 (2018), 16–44. DOI:10.1080/13439006.2018.1545488 |NavalXAgility, ‘Scaling Agility, Navy Doubles Tech Bridge Locations,’ 13 May 2020, https://www.navy.mil/submit/display.asp?story_id=112953|Neller, Robert B., ‘Strategy for Assured Command and Control: Enabling C2 for Tomorrow’s Marine Corps, Today’, US Marine Corps, Mar. 2017, https://www.hqmc.marines.mil/Portals/61/Marine_Corps_Strategy_for_Assured_Command_and_Control_March_2017.pdf?ver=2017-05-30-160731-940|Oakley, Shelby S., ‘Defense Acquisitions Annual Assessment: Drive to Deliver Capabilities Faster Increases Importance of Program Knowledge and Consistent Data for Oversight’, Government Accountability Office, Jun. 2020. https://www.gao.gov/assets/710/707359.pdf|Office of the Secretary of Defense, ‘National Defense Strategy of the United States of America: Sharpening the American Military’s Competitive Edge’, Jan. 2018. (Open in a new window)Google Scholar|Office of the Secretary of the Army, ‘Army Directive 2017–22 (Cross-functional Team Pilot in Support of Materiel Development’, 6 Oct. 2017. (Open in a new window)Google Scholar|Perez, Tony and Adam Welch, ‘AFWERX Spark’, in Brian Maue (ed..), Empowering Next Generation Innovators and Innovations (Arlington, VA: AFWERX 2020), 37–49. https://www.afwerx.af.mil/resources/AFWERX-Book.pdf|Pierce, Terry, ‘The Navy Needs a New Engine of Innovation’, Proceedings Magazine 144/11/1389 (Nov 2018). https://www.usni.org/magazines/proceedings/2018/november/navy-needs-new-engine-innovation|</v>
      </c>
    </row>
    <row r="65" customFormat="false" ht="124.6" hidden="false" customHeight="false" outlineLevel="0" collapsed="false">
      <c r="A65" s="4" t="s">
        <v>140</v>
      </c>
      <c r="B65" s="3" t="s">
        <v>140</v>
      </c>
      <c r="C65" s="0" t="str">
        <f aca="false">B65&amp;"|"</f>
        <v>Pierce, Terry, Warfighting and Disruptive Technologies: Disguising Innovation (New York, NY: Frank Cass Publishers 2004). |</v>
      </c>
      <c r="D65" s="0" t="str">
        <f aca="false">D64&amp;C65</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|Cote, Owen Reid, Jr., ‘The Politics of Innovative Military Doctrine: The US Navy and Fleet Ballistic Missiles’, Doctoral dissertation, Massachusetts Institute of Technology, Feb. 1996. (Open in a new window)Google Scholar|Cronin, Audrey Kurth, Power to the People: How Open Technological Innovation Is Arming Tomorrow’s Terrorists (Oxford: Oxford UP 2020). (Open in a new window)Google Scholar|Department of the Navy, ‘Unmanned Campaign Network’, 16 Mar. 2021, https://www.navy.mil/Portals/1/Strategic/20210315%20Unmanned%20Campaign_Final_LowRes.pdf?ver=LtCZ-BPlWki6vCBTdgtDMA%3D%3D|DiNapoli, Timothy J., ‘DOD’s Use of Other Transactions for Prototype Projects Has Increased’, Government Accountability Office GAO-20–84, Nov. 2019, https://www.gao.gov/assets/710/702861.pdf|Dunn, Richard L., ‘Other Transactions Contracts: Poorly Understood, Little Used’, National Defense Magazine, 15 May 2017, https://www.nationaldefensemagazine.org/articles/2017/5/15/other-transactions-contracts-poorly-understood-little-used|Easley, Matthew P., ‘Army Artificial Intelligence Task Force (AI-TF)’, US Army Futures Command (2019). https://www.clsac.org/uploads/5/0/6/3/50633811/2019-easley-aiml.pdf|Eckhardt, Jonathan T., Michael P. Ciuchta, and Mason Carpenter, ‘Open Innovation, Information, and Entrepreneurship within Platform Ecosystems’, Strategic Entrepreneurship Journal 12 (2018), 369–91. DOI:10.1002/sej.1298 |Eckstein, Megan, ‘Marine Corps Information Community Growing in Capability, Trying to Find Its Place in Joint Operations’, USNI News, 7 Jan. 2020, https://news.usni.org/2020/01/07/marine-corps-information-community-growing-in-capability-trying-to-find-its-place-in-joint-operations|Eversden, Andrew, ‘The Army AI Task Force Takes on Two ‘Key’ Projects’, C4ISRnet, 10 Jun. 2020, https://www.c4isrnet.com/artificial-intelligence/2020/06/10/the-army-ai-task-force-takes-on-two-key-projects/|Farrell, Theo, Sten Rynning, and Terry Terriff, Transforming Military Power since the Cold War: Britain, France, and the United States, 1991–2012 (Cambridge, UK: Cambridge UP 2013). |Feickert, Andrew and Brendan W. McGarry, ‘The Army’s Modernization Strategy: Congressional Oversight Considerations’, Congressional Research Service, 7 Feb. 2020, https://www.everycrsreport.com/files/20200207_R46216_444d93a212c95fd2fba1a596d520ca263a833307.pdf|Feickert, Andrew, ‘The Army’s Future Combat System (FCS): Background and Issues for Congress’, Congressional Research Services, 5 May 2006, https://www.everycrsreport.com/files/20060505_RL32888_bd0c5e4691669243ba6aacea43a6ce91c182246e.pdf|Fiott, Daniel, ‘A Revolution Too Far? US Defence Innovation, Europe and NATO’s Military-Technological Gap’, Journal of Strategic Studies 40/3 (2017), 417–37. DOI:10.1080/01402390.2016.1176565 |Gansler, Jacques, Democracy’s Arsenal: Creating a Twenty-First Century Defense Industry (Cambridge, MA: MIT UP 2011). |Geurts, James F., ‘The Department of the Navy Fiscal Year 2020 Budget Request for Science and Technology Programs’, House Armed Services Committee, 28 Mar. 2019. https://armedservices.house.gov/_cache/files/c/4/c46d8d7f-cade-4487-bae0-f87943aa205e/5AD8EA25BA971C25EF67C083034A43F2.hhrg-116-as26-wstate-geurtsj-20190328.pdf|Gilli, Andrea and Mauro Gilli, ‘Why China Has Not Caught Up Yet: Military-Technological Superiority and the Limits of Imitation, Reverse Engineering, and Cyber Espionage’, International Security 43/3 ( Winter 2018/19), 141–89. DOI:10.1162/isec_a_00337 |Glavy, Matthew G. and Brett Goldstein, ‘The Battle for Mon Cala: Getting the Military to Deliver Its Own Tech Solutions’, War On The Rocks, 20 Aug. 2020, https://warontherocks.com/2020/08/the-battle-for-mon-cala-getting-the-military-to-deliver-its-own-tech-solutions/|Griffin, Stuart, ‘Military Innovation Studies: Multidisciplinary or Lacking Discipline?’, Journal of Strategic Studies 40/1/2 (2016), 196–224. DOI:10.1080/01402390.2016.1196358 |Grissom, Andrew, ‘The Future of Military Innovation Studies’, Journal of Strategic Studies 29/5 (Oct. 2006), 905–34. DOI:10.1080/01402390600901067. |Haduch, Thomas W., ‘Maintaining the US Army Research, Development and Engineering Command Prototype Integration Facilities’, Defense Acquisition University Press. May 2014, https://www.dau.edu/training/career-development/sscf/Documents/T.%20HaduchSSCF2014SRPOPSECFINAL.pdf|Harper, Jon, ‘Army to Release New Wish List for Optionally Manned Fighting Vehicle’, National Defense Magazine, 19 Feb. 2020, https://www.nationaldefensemagazine.org/articles/2020/2/19/army-to-release-new-wish-list-for-optionally-manned-fighting-vehicle|Horowitz, Michael C., The Diffusion of Military Power: Causes and Consequences for International Politics (Princeton, NJ: Princeton UP 2010). |Horowitz, Michael, ‘Artificial Intelligence, International Competition, and the Balance of Power’, Texas National Security Review 1/3 (May 2018), 36–57. https://tnsr.org/2018/05/artificial-intelligence-international-competition-and-the-balance-of-power/|Kaeser, Hans Ulrich, ‘The Future Combat System: What Future Can The Army Afford?’, Center for Strategic and International Studies, 5 Feb. 2009. Working draft, https://csis-website-prod.s3.amazonaws.com/s3fs-public/legacy_files/files/media/csis/pubs/090205_fcsarmy.pdf|Kenyon, Henry, ‘Rapid App Response: Marines to Embed Development Teams with Deployed Units’, GCN, 6 Feb. 2012, https://gcn.com/articles/2012/02/06/marine-corps-apps-embedded-development-teams.aspx|Kleinholz, Joshua, ‘AFwerX Vegas Opens New Doors to Innovation’, Air Combat Command, 23 Aug. 2017, https://www.acc.af.mil/News/Article-Display/Article/1288094/afwerx-vegas-opens-new-doors-to-innovation/|Kollars, Nina A., ‘War’s Horizon: Soldier-Led Adaptation in Iraq and Vietnam’, Journal of Strategic Studies 38/4 (2015), 529–53. DOI:10.1080/01402390.2014.971947 |Krazit, Tom, ‘How the US Air Force Deployed Kubernetes and Istio on an F-16 in 45 Days’, The New Stack, 24 Dec. 2019, https://thenewstack.io/how-the-u-s-air-force-deployed-kubernetes-and-istio-on-an-f-16-in-45-days/|Lake, Daniel R., The Pursuit of Technological Superiority and the Shrinking American Military (New York, NY: Palgrave MacMillan 2019). |Lavelle, Sean, ‘The Navy’s Kessel Run’, US Naval Institute, 3 Jan. 2019, https://blog.usni.org/posts/2019/01/03/the-navys-kessel-run|Leonard, Herman, et al., ‘SOFWERX: Innovation at US Special Operations Command’, Harvard Business School Case 819–004, Jul. 2018. (Open in a new window)Google Scholar|Lindsay, Jon R., Information Technology and Military Power (Ithaca, NY: Cornell UP 2020). |Lofgren, Eric, ‘The Future of Navy Software Development with Lt. Sean Lavelle,’ Acquisition Talk (1 Apr. 2020). Audio. (Open in a new window)Google Scholar|Lofgren, Eric, ‘The Last Frontier of Acquisition Reform: The Budget Process’, Conference Paper, Proceedings of the Seventeenth Annual Acquisition Research Symposium, 13-14 May 2020. Prepared for the Naval Postgraduate School, Monterey, CA. (Open in a new window)Google Scholar|Mabus, Ray, ‘Harnessing the Navy’s Culture of Innovation’, Naval Science and Technology Future Force Magazine, 7 Apr. 2015, https://futureforce.navylive.dodlive.mil/2015/04/harnessing-the-navys-culture-of-innovation/|Magnuson, Stew, ‘AUSA NEWS: Army Futures Command Breaking Down Barriers’, National Defense Magazine, 16 Oct. 2019, https://www.nationaldefensemagazine.org/articles/2019/10/16/army-futures-command-breaking-down-barriers|Mahnken, Thomas G., Technology and the American Way of War since 1945 (New York, NY: Columbia UP 2008). (Open in a new window)Google Scholar|Mansoor, Peter R. and Williamson Murray, (eds.), The Culture of Military Organizations (Cambridge: UK: Cambridge UP 2019). |Mayfield, Mandy, ‘Army Futures Command Establishes “Software Factory”’, National Defense Magazine, 21 Aug. 2020, https://www.nationaldefensemagazine.org/articles/2020/8/21/army-futures-command-establishes-software-factory|McCain, John, ‘Opening Statement by SASC Chairman John McCain at Hearing on DoD Nominations’, Office of Senator John McCain, 14 Nov. 2017, https://www.mccain.senate.gov/public/index.cfm/floor-statements?ID=05DCC73A-F9F2-44E8-A75F-236003222AF2|McQuade, J. Michael et al., ‘Software Is Never Done: Refactoring the Acquisition Code for Competitive Advantage’, Defense Innovation Board, 3 May 2019, https://media.defense.gov/2019/May/01/2002126690/-1/-1/0/SWAP%20EXECUTIVE%20SUMMARY.PDF|Miller, Jason, ‘Air Force’s game-changing approach to cloud accreditation, Federal News Network’, 30 Jul. 2020, https://federalnewsnetwork.com/ask-the-cio/2020/07/air-forces-game-changing-approach-to-cloud-accreditation/|Mori, Satoru, ‘US Defense Innovation and Artificial Intelligence’, Asia-Pacific Review 25/2 (2018), 16–44. DOI:10.1080/13439006.2018.1545488 |NavalXAgility, ‘Scaling Agility, Navy Doubles Tech Bridge Locations,’ 13 May 2020, https://www.navy.mil/submit/display.asp?story_id=112953|Neller, Robert B., ‘Strategy for Assured Command and Control: Enabling C2 for Tomorrow’s Marine Corps, Today’, US Marine Corps, Mar. 2017, https://www.hqmc.marines.mil/Portals/61/Marine_Corps_Strategy_for_Assured_Command_and_Control_March_2017.pdf?ver=2017-05-30-160731-940|Oakley, Shelby S., ‘Defense Acquisitions Annual Assessment: Drive to Deliver Capabilities Faster Increases Importance of Program Knowledge and Consistent Data for Oversight’, Government Accountability Office, Jun. 2020. https://www.gao.gov/assets/710/707359.pdf|Office of the Secretary of Defense, ‘National Defense Strategy of the United States of America: Sharpening the American Military’s Competitive Edge’, Jan. 2018. (Open in a new window)Google Scholar|Office of the Secretary of the Army, ‘Army Directive 2017–22 (Cross-functional Team Pilot in Support of Materiel Development’, 6 Oct. 2017. (Open in a new window)Google Scholar|Perez, Tony and Adam Welch, ‘AFWERX Spark’, in Brian Maue (ed..), Empowering Next Generation Innovators and Innovations (Arlington, VA: AFWERX 2020), 37–49. https://www.afwerx.af.mil/resources/AFWERX-Book.pdf|Pierce, Terry, ‘The Navy Needs a New Engine of Innovation’, Proceedings Magazine 144/11/1389 (Nov 2018). https://www.usni.org/magazines/proceedings/2018/november/navy-needs-new-engine-innovation|Pierce, Terry, Warfighting and Disruptive Technologies: Disguising Innovation (New York, NY: Frank Cass Publishers 2004). |</v>
      </c>
    </row>
    <row r="66" customFormat="false" ht="147" hidden="false" customHeight="false" outlineLevel="0" collapsed="false">
      <c r="A66" s="4" t="s">
        <v>141</v>
      </c>
      <c r="B66" s="3" t="s">
        <v>142</v>
      </c>
      <c r="C66" s="0" t="str">
        <f aca="false">B66&amp;"|"</f>
        <v>Pomerleau, Mark, ‘Here’s What the Marines’ Information Command Centers Will Do’, C4ISR.net, 6 Dec. 2019, https://www.c4isrnet.com/information-warfare/2019/12/06/heres-what-the-marines-information-command-centers-will-do/|</v>
      </c>
      <c r="D66" s="0" t="str">
        <f aca="false">D65&amp;C66</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|Cote, Owen Reid, Jr., ‘The Politics of Innovative Military Doctrine: The US Navy and Fleet Ballistic Missiles’, Doctoral dissertation, Massachusetts Institute of Technology, Feb. 1996. (Open in a new window)Google Scholar|Cronin, Audrey Kurth, Power to the People: How Open Technological Innovation Is Arming Tomorrow’s Terrorists (Oxford: Oxford UP 2020). (Open in a new window)Google Scholar|Department of the Navy, ‘Unmanned Campaign Network’, 16 Mar. 2021, https://www.navy.mil/Portals/1/Strategic/20210315%20Unmanned%20Campaign_Final_LowRes.pdf?ver=LtCZ-BPlWki6vCBTdgtDMA%3D%3D|DiNapoli, Timothy J., ‘DOD’s Use of Other Transactions for Prototype Projects Has Increased’, Government Accountability Office GAO-20–84, Nov. 2019, https://www.gao.gov/assets/710/702861.pdf|Dunn, Richard L., ‘Other Transactions Contracts: Poorly Understood, Little Used’, National Defense Magazine, 15 May 2017, https://www.nationaldefensemagazine.org/articles/2017/5/15/other-transactions-contracts-poorly-understood-little-used|Easley, Matthew P., ‘Army Artificial Intelligence Task Force (AI-TF)’, US Army Futures Command (2019). https://www.clsac.org/uploads/5/0/6/3/50633811/2019-easley-aiml.pdf|Eckhardt, Jonathan T., Michael P. Ciuchta, and Mason Carpenter, ‘Open Innovation, Information, and Entrepreneurship within Platform Ecosystems’, Strategic Entrepreneurship Journal 12 (2018), 369–91. DOI:10.1002/sej.1298 |Eckstein, Megan, ‘Marine Corps Information Community Growing in Capability, Trying to Find Its Place in Joint Operations’, USNI News, 7 Jan. 2020, https://news.usni.org/2020/01/07/marine-corps-information-community-growing-in-capability-trying-to-find-its-place-in-joint-operations|Eversden, Andrew, ‘The Army AI Task Force Takes on Two ‘Key’ Projects’, C4ISRnet, 10 Jun. 2020, https://www.c4isrnet.com/artificial-intelligence/2020/06/10/the-army-ai-task-force-takes-on-two-key-projects/|Farrell, Theo, Sten Rynning, and Terry Terriff, Transforming Military Power since the Cold War: Britain, France, and the United States, 1991–2012 (Cambridge, UK: Cambridge UP 2013). |Feickert, Andrew and Brendan W. McGarry, ‘The Army’s Modernization Strategy: Congressional Oversight Considerations’, Congressional Research Service, 7 Feb. 2020, https://www.everycrsreport.com/files/20200207_R46216_444d93a212c95fd2fba1a596d520ca263a833307.pdf|Feickert, Andrew, ‘The Army’s Future Combat System (FCS): Background and Issues for Congress’, Congressional Research Services, 5 May 2006, https://www.everycrsreport.com/files/20060505_RL32888_bd0c5e4691669243ba6aacea43a6ce91c182246e.pdf|Fiott, Daniel, ‘A Revolution Too Far? US Defence Innovation, Europe and NATO’s Military-Technological Gap’, Journal of Strategic Studies 40/3 (2017), 417–37. DOI:10.1080/01402390.2016.1176565 |Gansler, Jacques, Democracy’s Arsenal: Creating a Twenty-First Century Defense Industry (Cambridge, MA: MIT UP 2011). |Geurts, James F., ‘The Department of the Navy Fiscal Year 2020 Budget Request for Science and Technology Programs’, House Armed Services Committee, 28 Mar. 2019. https://armedservices.house.gov/_cache/files/c/4/c46d8d7f-cade-4487-bae0-f87943aa205e/5AD8EA25BA971C25EF67C083034A43F2.hhrg-116-as26-wstate-geurtsj-20190328.pdf|Gilli, Andrea and Mauro Gilli, ‘Why China Has Not Caught Up Yet: Military-Technological Superiority and the Limits of Imitation, Reverse Engineering, and Cyber Espionage’, International Security 43/3 ( Winter 2018/19), 141–89. DOI:10.1162/isec_a_00337 |Glavy, Matthew G. and Brett Goldstein, ‘The Battle for Mon Cala: Getting the Military to Deliver Its Own Tech Solutions’, War On The Rocks, 20 Aug. 2020, https://warontherocks.com/2020/08/the-battle-for-mon-cala-getting-the-military-to-deliver-its-own-tech-solutions/|Griffin, Stuart, ‘Military Innovation Studies: Multidisciplinary or Lacking Discipline?’, Journal of Strategic Studies 40/1/2 (2016), 196–224. DOI:10.1080/01402390.2016.1196358 |Grissom, Andrew, ‘The Future of Military Innovation Studies’, Journal of Strategic Studies 29/5 (Oct. 2006), 905–34. DOI:10.1080/01402390600901067. |Haduch, Thomas W., ‘Maintaining the US Army Research, Development and Engineering Command Prototype Integration Facilities’, Defense Acquisition University Press. May 2014, https://www.dau.edu/training/career-development/sscf/Documents/T.%20HaduchSSCF2014SRPOPSECFINAL.pdf|Harper, Jon, ‘Army to Release New Wish List for Optionally Manned Fighting Vehicle’, National Defense Magazine, 19 Feb. 2020, https://www.nationaldefensemagazine.org/articles/2020/2/19/army-to-release-new-wish-list-for-optionally-manned-fighting-vehicle|Horowitz, Michael C., The Diffusion of Military Power: Causes and Consequences for International Politics (Princeton, NJ: Princeton UP 2010). |Horowitz, Michael, ‘Artificial Intelligence, International Competition, and the Balance of Power’, Texas National Security Review 1/3 (May 2018), 36–57. https://tnsr.org/2018/05/artificial-intelligence-international-competition-and-the-balance-of-power/|Kaeser, Hans Ulrich, ‘The Future Combat System: What Future Can The Army Afford?’, Center for Strategic and International Studies, 5 Feb. 2009. Working draft, https://csis-website-prod.s3.amazonaws.com/s3fs-public/legacy_files/files/media/csis/pubs/090205_fcsarmy.pdf|Kenyon, Henry, ‘Rapid App Response: Marines to Embed Development Teams with Deployed Units’, GCN, 6 Feb. 2012, https://gcn.com/articles/2012/02/06/marine-corps-apps-embedded-development-teams.aspx|Kleinholz, Joshua, ‘AFwerX Vegas Opens New Doors to Innovation’, Air Combat Command, 23 Aug. 2017, https://www.acc.af.mil/News/Article-Display/Article/1288094/afwerx-vegas-opens-new-doors-to-innovation/|Kollars, Nina A., ‘War’s Horizon: Soldier-Led Adaptation in Iraq and Vietnam’, Journal of Strategic Studies 38/4 (2015), 529–53. DOI:10.1080/01402390.2014.971947 |Krazit, Tom, ‘How the US Air Force Deployed Kubernetes and Istio on an F-16 in 45 Days’, The New Stack, 24 Dec. 2019, https://thenewstack.io/how-the-u-s-air-force-deployed-kubernetes-and-istio-on-an-f-16-in-45-days/|Lake, Daniel R., The Pursuit of Technological Superiority and the Shrinking American Military (New York, NY: Palgrave MacMillan 2019). |Lavelle, Sean, ‘The Navy’s Kessel Run’, US Naval Institute, 3 Jan. 2019, https://blog.usni.org/posts/2019/01/03/the-navys-kessel-run|Leonard, Herman, et al., ‘SOFWERX: Innovation at US Special Operations Command’, Harvard Business School Case 819–004, Jul. 2018. (Open in a new window)Google Scholar|Lindsay, Jon R., Information Technology and Military Power (Ithaca, NY: Cornell UP 2020). |Lofgren, Eric, ‘The Future of Navy Software Development with Lt. Sean Lavelle,’ Acquisition Talk (1 Apr. 2020). Audio. (Open in a new window)Google Scholar|Lofgren, Eric, ‘The Last Frontier of Acquisition Reform: The Budget Process’, Conference Paper, Proceedings of the Seventeenth Annual Acquisition Research Symposium, 13-14 May 2020. Prepared for the Naval Postgraduate School, Monterey, CA. (Open in a new window)Google Scholar|Mabus, Ray, ‘Harnessing the Navy’s Culture of Innovation’, Naval Science and Technology Future Force Magazine, 7 Apr. 2015, https://futureforce.navylive.dodlive.mil/2015/04/harnessing-the-navys-culture-of-innovation/|Magnuson, Stew, ‘AUSA NEWS: Army Futures Command Breaking Down Barriers’, National Defense Magazine, 16 Oct. 2019, https://www.nationaldefensemagazine.org/articles/2019/10/16/army-futures-command-breaking-down-barriers|Mahnken, Thomas G., Technology and the American Way of War since 1945 (New York, NY: Columbia UP 2008). (Open in a new window)Google Scholar|Mansoor, Peter R. and Williamson Murray, (eds.), The Culture of Military Organizations (Cambridge: UK: Cambridge UP 2019). |Mayfield, Mandy, ‘Army Futures Command Establishes “Software Factory”’, National Defense Magazine, 21 Aug. 2020, https://www.nationaldefensemagazine.org/articles/2020/8/21/army-futures-command-establishes-software-factory|McCain, John, ‘Opening Statement by SASC Chairman John McCain at Hearing on DoD Nominations’, Office of Senator John McCain, 14 Nov. 2017, https://www.mccain.senate.gov/public/index.cfm/floor-statements?ID=05DCC73A-F9F2-44E8-A75F-236003222AF2|McQuade, J. Michael et al., ‘Software Is Never Done: Refactoring the Acquisition Code for Competitive Advantage’, Defense Innovation Board, 3 May 2019, https://media.defense.gov/2019/May/01/2002126690/-1/-1/0/SWAP%20EXECUTIVE%20SUMMARY.PDF|Miller, Jason, ‘Air Force’s game-changing approach to cloud accreditation, Federal News Network’, 30 Jul. 2020, https://federalnewsnetwork.com/ask-the-cio/2020/07/air-forces-game-changing-approach-to-cloud-accreditation/|Mori, Satoru, ‘US Defense Innovation and Artificial Intelligence’, Asia-Pacific Review 25/2 (2018), 16–44. DOI:10.1080/13439006.2018.1545488 |NavalXAgility, ‘Scaling Agility, Navy Doubles Tech Bridge Locations,’ 13 May 2020, https://www.navy.mil/submit/display.asp?story_id=112953|Neller, Robert B., ‘Strategy for Assured Command and Control: Enabling C2 for Tomorrow’s Marine Corps, Today’, US Marine Corps, Mar. 2017, https://www.hqmc.marines.mil/Portals/61/Marine_Corps_Strategy_for_Assured_Command_and_Control_March_2017.pdf?ver=2017-05-30-160731-940|Oakley, Shelby S., ‘Defense Acquisitions Annual Assessment: Drive to Deliver Capabilities Faster Increases Importance of Program Knowledge and Consistent Data for Oversight’, Government Accountability Office, Jun. 2020. https://www.gao.gov/assets/710/707359.pdf|Office of the Secretary of Defense, ‘National Defense Strategy of the United States of America: Sharpening the American Military’s Competitive Edge’, Jan. 2018. (Open in a new window)Google Scholar|Office of the Secretary of the Army, ‘Army Directive 2017–22 (Cross-functional Team Pilot in Support of Materiel Development’, 6 Oct. 2017. (Open in a new window)Google Scholar|Perez, Tony and Adam Welch, ‘AFWERX Spark’, in Brian Maue (ed..), Empowering Next Generation Innovators and Innovations (Arlington, VA: AFWERX 2020), 37–49. https://www.afwerx.af.mil/resources/AFWERX-Book.pdf|Pierce, Terry, ‘The Navy Needs a New Engine of Innovation’, Proceedings Magazine 144/11/1389 (Nov 2018). https://www.usni.org/magazines/proceedings/2018/november/navy-needs-new-engine-innovation|Pierce, Terry, Warfighting and Disruptive Technologies: Disguising Innovation (New York, NY: Frank Cass Publishers 2004). |Pomerleau, Mark, ‘Here’s What the Marines’ Information Command Centers Will Do’, C4ISR.net, 6 Dec. 2019, https://www.c4isrnet.com/information-warfare/2019/12/06/heres-what-the-marines-information-command-centers-will-do/|</v>
      </c>
    </row>
    <row r="67" customFormat="false" ht="113.4" hidden="false" customHeight="false" outlineLevel="0" collapsed="false">
      <c r="A67" s="4" t="s">
        <v>143</v>
      </c>
      <c r="B67" s="3" t="s">
        <v>144</v>
      </c>
      <c r="C67" s="0" t="str">
        <f aca="false">B67&amp;"|"</f>
        <v>Pomerleau, Mark, ‘The Air Force Is All in on Software’, C4ISRnet, 12 Aug. 2019, https://www.c4isrnet.com/battlefield-tech/2019/08/12/the-air-force-is-all-in-on-software/|</v>
      </c>
      <c r="D67" s="0" t="str">
        <f aca="false">D66&amp;C67</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|Cote, Owen Reid, Jr., ‘The Politics of Innovative Military Doctrine: The US Navy and Fleet Ballistic Missiles’, Doctoral dissertation, Massachusetts Institute of Technology, Feb. 1996. (Open in a new window)Google Scholar|Cronin, Audrey Kurth, Power to the People: How Open Technological Innovation Is Arming Tomorrow’s Terrorists (Oxford: Oxford UP 2020). (Open in a new window)Google Scholar|Department of the Navy, ‘Unmanned Campaign Network’, 16 Mar. 2021, https://www.navy.mil/Portals/1/Strategic/20210315%20Unmanned%20Campaign_Final_LowRes.pdf?ver=LtCZ-BPlWki6vCBTdgtDMA%3D%3D|DiNapoli, Timothy J., ‘DOD’s Use of Other Transactions for Prototype Projects Has Increased’, Government Accountability Office GAO-20–84, Nov. 2019, https://www.gao.gov/assets/710/702861.pdf|Dunn, Richard L., ‘Other Transactions Contracts: Poorly Understood, Little Used’, National Defense Magazine, 15 May 2017, https://www.nationaldefensemagazine.org/articles/2017/5/15/other-transactions-contracts-poorly-understood-little-used|Easley, Matthew P., ‘Army Artificial Intelligence Task Force (AI-TF)’, US Army Futures Command (2019). https://www.clsac.org/uploads/5/0/6/3/50633811/2019-easley-aiml.pdf|Eckhardt, Jonathan T., Michael P. Ciuchta, and Mason Carpenter, ‘Open Innovation, Information, and Entrepreneurship within Platform Ecosystems’, Strategic Entrepreneurship Journal 12 (2018), 369–91. DOI:10.1002/sej.1298 |Eckstein, Megan, ‘Marine Corps Information Community Growing in Capability, Trying to Find Its Place in Joint Operations’, USNI News, 7 Jan. 2020, https://news.usni.org/2020/01/07/marine-corps-information-community-growing-in-capability-trying-to-find-its-place-in-joint-operations|Eversden, Andrew, ‘The Army AI Task Force Takes on Two ‘Key’ Projects’, C4ISRnet, 10 Jun. 2020, https://www.c4isrnet.com/artificial-intelligence/2020/06/10/the-army-ai-task-force-takes-on-two-key-projects/|Farrell, Theo, Sten Rynning, and Terry Terriff, Transforming Military Power since the Cold War: Britain, France, and the United States, 1991–2012 (Cambridge, UK: Cambridge UP 2013). |Feickert, Andrew and Brendan W. McGarry, ‘The Army’s Modernization Strategy: Congressional Oversight Considerations’, Congressional Research Service, 7 Feb. 2020, https://www.everycrsreport.com/files/20200207_R46216_444d93a212c95fd2fba1a596d520ca263a833307.pdf|Feickert, Andrew, ‘The Army’s Future Combat System (FCS): Background and Issues for Congress’, Congressional Research Services, 5 May 2006, https://www.everycrsreport.com/files/20060505_RL32888_bd0c5e4691669243ba6aacea43a6ce91c182246e.pdf|Fiott, Daniel, ‘A Revolution Too Far? US Defence Innovation, Europe and NATO’s Military-Technological Gap’, Journal of Strategic Studies 40/3 (2017), 417–37. DOI:10.1080/01402390.2016.1176565 |Gansler, Jacques, Democracy’s Arsenal: Creating a Twenty-First Century Defense Industry (Cambridge, MA: MIT UP 2011). |Geurts, James F., ‘The Department of the Navy Fiscal Year 2020 Budget Request for Science and Technology Programs’, House Armed Services Committee, 28 Mar. 2019. https://armedservices.house.gov/_cache/files/c/4/c46d8d7f-cade-4487-bae0-f87943aa205e/5AD8EA25BA971C25EF67C083034A43F2.hhrg-116-as26-wstate-geurtsj-20190328.pdf|Gilli, Andrea and Mauro Gilli, ‘Why China Has Not Caught Up Yet: Military-Technological Superiority and the Limits of Imitation, Reverse Engineering, and Cyber Espionage’, International Security 43/3 ( Winter 2018/19), 141–89. DOI:10.1162/isec_a_00337 |Glavy, Matthew G. and Brett Goldstein, ‘The Battle for Mon Cala: Getting the Military to Deliver Its Own Tech Solutions’, War On The Rocks, 20 Aug. 2020, https://warontherocks.com/2020/08/the-battle-for-mon-cala-getting-the-military-to-deliver-its-own-tech-solutions/|Griffin, Stuart, ‘Military Innovation Studies: Multidisciplinary or Lacking Discipline?’, Journal of Strategic Studies 40/1/2 (2016), 196–224. DOI:10.1080/01402390.2016.1196358 |Grissom, Andrew, ‘The Future of Military Innovation Studies’, Journal of Strategic Studies 29/5 (Oct. 2006), 905–34. DOI:10.1080/01402390600901067. |Haduch, Thomas W., ‘Maintaining the US Army Research, Development and Engineering Command Prototype Integration Facilities’, Defense Acquisition University Press. May 2014, https://www.dau.edu/training/career-development/sscf/Documents/T.%20HaduchSSCF2014SRPOPSECFINAL.pdf|Harper, Jon, ‘Army to Release New Wish List for Optionally Manned Fighting Vehicle’, National Defense Magazine, 19 Feb. 2020, https://www.nationaldefensemagazine.org/articles/2020/2/19/army-to-release-new-wish-list-for-optionally-manned-fighting-vehicle|Horowitz, Michael C., The Diffusion of Military Power: Causes and Consequences for International Politics (Princeton, NJ: Princeton UP 2010). |Horowitz, Michael, ‘Artificial Intelligence, International Competition, and the Balance of Power’, Texas National Security Review 1/3 (May 2018), 36–57. https://tnsr.org/2018/05/artificial-intelligence-international-competition-and-the-balance-of-power/|Kaeser, Hans Ulrich, ‘The Future Combat System: What Future Can The Army Afford?’, Center for Strategic and International Studies, 5 Feb. 2009. Working draft, https://csis-website-prod.s3.amazonaws.com/s3fs-public/legacy_files/files/media/csis/pubs/090205_fcsarmy.pdf|Kenyon, Henry, ‘Rapid App Response: Marines to Embed Development Teams with Deployed Units’, GCN, 6 Feb. 2012, https://gcn.com/articles/2012/02/06/marine-corps-apps-embedded-development-teams.aspx|Kleinholz, Joshua, ‘AFwerX Vegas Opens New Doors to Innovation’, Air Combat Command, 23 Aug. 2017, https://www.acc.af.mil/News/Article-Display/Article/1288094/afwerx-vegas-opens-new-doors-to-innovation/|Kollars, Nina A., ‘War’s Horizon: Soldier-Led Adaptation in Iraq and Vietnam’, Journal of Strategic Studies 38/4 (2015), 529–53. DOI:10.1080/01402390.2014.971947 |Krazit, Tom, ‘How the US Air Force Deployed Kubernetes and Istio on an F-16 in 45 Days’, The New Stack, 24 Dec. 2019, https://thenewstack.io/how-the-u-s-air-force-deployed-kubernetes-and-istio-on-an-f-16-in-45-days/|Lake, Daniel R., The Pursuit of Technological Superiority and the Shrinking American Military (New York, NY: Palgrave MacMillan 2019). |Lavelle, Sean, ‘The Navy’s Kessel Run’, US Naval Institute, 3 Jan. 2019, https://blog.usni.org/posts/2019/01/03/the-navys-kessel-run|Leonard, Herman, et al., ‘SOFWERX: Innovation at US Special Operations Command’, Harvard Business School Case 819–004, Jul. 2018. (Open in a new window)Google Scholar|Lindsay, Jon R., Information Technology and Military Power (Ithaca, NY: Cornell UP 2020). |Lofgren, Eric, ‘The Future of Navy Software Development with Lt. Sean Lavelle,’ Acquisition Talk (1 Apr. 2020). Audio. (Open in a new window)Google Scholar|Lofgren, Eric, ‘The Last Frontier of Acquisition Reform: The Budget Process’, Conference Paper, Proceedings of the Seventeenth Annual Acquisition Research Symposium, 13-14 May 2020. Prepared for the Naval Postgraduate School, Monterey, CA. (Open in a new window)Google Scholar|Mabus, Ray, ‘Harnessing the Navy’s Culture of Innovation’, Naval Science and Technology Future Force Magazine, 7 Apr. 2015, https://futureforce.navylive.dodlive.mil/2015/04/harnessing-the-navys-culture-of-innovation/|Magnuson, Stew, ‘AUSA NEWS: Army Futures Command Breaking Down Barriers’, National Defense Magazine, 16 Oct. 2019, https://www.nationaldefensemagazine.org/articles/2019/10/16/army-futures-command-breaking-down-barriers|Mahnken, Thomas G., Technology and the American Way of War since 1945 (New York, NY: Columbia UP 2008). (Open in a new window)Google Scholar|Mansoor, Peter R. and Williamson Murray, (eds.), The Culture of Military Organizations (Cambridge: UK: Cambridge UP 2019). |Mayfield, Mandy, ‘Army Futures Command Establishes “Software Factory”’, National Defense Magazine, 21 Aug. 2020, https://www.nationaldefensemagazine.org/articles/2020/8/21/army-futures-command-establishes-software-factory|McCain, John, ‘Opening Statement by SASC Chairman John McCain at Hearing on DoD Nominations’, Office of Senator John McCain, 14 Nov. 2017, https://www.mccain.senate.gov/public/index.cfm/floor-statements?ID=05DCC73A-F9F2-44E8-A75F-236003222AF2|McQuade, J. Michael et al., ‘Software Is Never Done: Refactoring the Acquisition Code for Competitive Advantage’, Defense Innovation Board, 3 May 2019, https://media.defense.gov/2019/May/01/2002126690/-1/-1/0/SWAP%20EXECUTIVE%20SUMMARY.PDF|Miller, Jason, ‘Air Force’s game-changing approach to cloud accreditation, Federal News Network’, 30 Jul. 2020, https://federalnewsnetwork.com/ask-the-cio/2020/07/air-forces-game-changing-approach-to-cloud-accreditation/|Mori, Satoru, ‘US Defense Innovation and Artificial Intelligence’, Asia-Pacific Review 25/2 (2018), 16–44. DOI:10.1080/13439006.2018.1545488 |NavalXAgility, ‘Scaling Agility, Navy Doubles Tech Bridge Locations,’ 13 May 2020, https://www.navy.mil/submit/display.asp?story_id=112953|Neller, Robert B., ‘Strategy for Assured Command and Control: Enabling C2 for Tomorrow’s Marine Corps, Today’, US Marine Corps, Mar. 2017, https://www.hqmc.marines.mil/Portals/61/Marine_Corps_Strategy_for_Assured_Command_and_Control_March_2017.pdf?ver=2017-05-30-160731-940|Oakley, Shelby S., ‘Defense Acquisitions Annual Assessment: Drive to Deliver Capabilities Faster Increases Importance of Program Knowledge and Consistent Data for Oversight’, Government Accountability Office, Jun. 2020. https://www.gao.gov/assets/710/707359.pdf|Office of the Secretary of Defense, ‘National Defense Strategy of the United States of America: Sharpening the American Military’s Competitive Edge’, Jan. 2018. (Open in a new window)Google Scholar|Office of the Secretary of the Army, ‘Army Directive 2017–22 (Cross-functional Team Pilot in Support of Materiel Development’, 6 Oct. 2017. (Open in a new window)Google Scholar|Perez, Tony and Adam Welch, ‘AFWERX Spark’, in Brian Maue (ed..), Empowering Next Generation Innovators and Innovations (Arlington, VA: AFWERX 2020), 37–49. https://www.afwerx.af.mil/resources/AFWERX-Book.pdf|Pierce, Terry, ‘The Navy Needs a New Engine of Innovation’, Proceedings Magazine 144/11/1389 (Nov 2018). https://www.usni.org/magazines/proceedings/2018/november/navy-needs-new-engine-innovation|Pierce, Terry, Warfighting and Disruptive Technologies: Disguising Innovation (New York, NY: Frank Cass Publishers 2004). |Pomerleau, Mark, ‘Here’s What the Marines’ Information Command Centers Will Do’, C4ISR.net, 6 Dec. 2019, https://www.c4isrnet.com/information-warfare/2019/12/06/heres-what-the-marines-information-command-centers-will-do/|Pomerleau, Mark, ‘The Air Force Is All in on Software’, C4ISRnet, 12 Aug. 2019, https://www.c4isrnet.com/battlefield-tech/2019/08/12/the-air-force-is-all-in-on-software/|</v>
      </c>
    </row>
    <row r="68" customFormat="false" ht="180.55" hidden="false" customHeight="false" outlineLevel="0" collapsed="false">
      <c r="A68" s="4" t="s">
        <v>145</v>
      </c>
      <c r="B68" s="3" t="s">
        <v>145</v>
      </c>
      <c r="C68" s="0" t="str">
        <f aca="false">B68&amp;"|"</f>
        <v>Posen, Barry R., ‘Foreward: Military Doctrine and the Management of Uncertainty’, Journal of Strategic Studies 39/2 (2016), 159–73. DOI:10.1080/01402390.2015.1115042 |</v>
      </c>
      <c r="D68" s="0" t="str">
        <f aca="false">D67&amp;C68</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|Cote, Owen Reid, Jr., ‘The Politics of Innovative Military Doctrine: The US Navy and Fleet Ballistic Missiles’, Doctoral dissertation, Massachusetts Institute of Technology, Feb. 1996. (Open in a new window)Google Scholar|Cronin, Audrey Kurth, Power to the People: How Open Technological Innovation Is Arming Tomorrow’s Terrorists (Oxford: Oxford UP 2020). (Open in a new window)Google Scholar|Department of the Navy, ‘Unmanned Campaign Network’, 16 Mar. 2021, https://www.navy.mil/Portals/1/Strategic/20210315%20Unmanned%20Campaign_Final_LowRes.pdf?ver=LtCZ-BPlWki6vCBTdgtDMA%3D%3D|DiNapoli, Timothy J., ‘DOD’s Use of Other Transactions for Prototype Projects Has Increased’, Government Accountability Office GAO-20–84, Nov. 2019, https://www.gao.gov/assets/710/702861.pdf|Dunn, Richard L., ‘Other Transactions Contracts: Poorly Understood, Little Used’, National Defense Magazine, 15 May 2017, https://www.nationaldefensemagazine.org/articles/2017/5/15/other-transactions-contracts-poorly-understood-little-used|Easley, Matthew P., ‘Army Artificial Intelligence Task Force (AI-TF)’, US Army Futures Command (2019). https://www.clsac.org/uploads/5/0/6/3/50633811/2019-easley-aiml.pdf|Eckhardt, Jonathan T., Michael P. Ciuchta, and Mason Carpenter, ‘Open Innovation, Information, and Entrepreneurship within Platform Ecosystems’, Strategic Entrepreneurship Journal 12 (2018), 369–91. DOI:10.1002/sej.1298 |Eckstein, Megan, ‘Marine Corps Information Community Growing in Capability, Trying to Find Its Place in Joint Operations’, USNI News, 7 Jan. 2020, https://news.usni.org/2020/01/07/marine-corps-information-community-growing-in-capability-trying-to-find-its-place-in-joint-operations|Eversden, Andrew, ‘The Army AI Task Force Takes on Two ‘Key’ Projects’, C4ISRnet, 10 Jun. 2020, https://www.c4isrnet.com/artificial-intelligence/2020/06/10/the-army-ai-task-force-takes-on-two-key-projects/|Farrell, Theo, Sten Rynning, and Terry Terriff, Transforming Military Power since the Cold War: Britain, France, and the United States, 1991–2012 (Cambridge, UK: Cambridge UP 2013). |Feickert, Andrew and Brendan W. McGarry, ‘The Army’s Modernization Strategy: Congressional Oversight Considerations’, Congressional Research Service, 7 Feb. 2020, https://www.everycrsreport.com/files/20200207_R46216_444d93a212c95fd2fba1a596d520ca263a833307.pdf|Feickert, Andrew, ‘The Army’s Future Combat System (FCS): Background and Issues for Congress’, Congressional Research Services, 5 May 2006, https://www.everycrsreport.com/files/20060505_RL32888_bd0c5e4691669243ba6aacea43a6ce91c182246e.pdf|Fiott, Daniel, ‘A Revolution Too Far? US Defence Innovation, Europe and NATO’s Military-Technological Gap’, Journal of Strategic Studies 40/3 (2017), 417–37. DOI:10.1080/01402390.2016.1176565 |Gansler, Jacques, Democracy’s Arsenal: Creating a Twenty-First Century Defense Industry (Cambridge, MA: MIT UP 2011). |Geurts, James F., ‘The Department of the Navy Fiscal Year 2020 Budget Request for Science and Technology Programs’, House Armed Services Committee, 28 Mar. 2019. https://armedservices.house.gov/_cache/files/c/4/c46d8d7f-cade-4487-bae0-f87943aa205e/5AD8EA25BA971C25EF67C083034A43F2.hhrg-116-as26-wstate-geurtsj-20190328.pdf|Gilli, Andrea and Mauro Gilli, ‘Why China Has Not Caught Up Yet: Military-Technological Superiority and the Limits of Imitation, Reverse Engineering, and Cyber Espionage’, International Security 43/3 ( Winter 2018/19), 141–89. DOI:10.1162/isec_a_00337 |Glavy, Matthew G. and Brett Goldstein, ‘The Battle for Mon Cala: Getting the Military to Deliver Its Own Tech Solutions’, War On The Rocks, 20 Aug. 2020, https://warontherocks.com/2020/08/the-battle-for-mon-cala-getting-the-military-to-deliver-its-own-tech-solutions/|Griffin, Stuart, ‘Military Innovation Studies: Multidisciplinary or Lacking Discipline?’, Journal of Strategic Studies 40/1/2 (2016), 196–224. DOI:10.1080/01402390.2016.1196358 |Grissom, Andrew, ‘The Future of Military Innovation Studies’, Journal of Strategic Studies 29/5 (Oct. 2006), 905–34. DOI:10.1080/01402390600901067. |Haduch, Thomas W., ‘Maintaining the US Army Research, Development and Engineering Command Prototype Integration Facilities’, Defense Acquisition University Press. May 2014, https://www.dau.edu/training/career-development/sscf/Documents/T.%20HaduchSSCF2014SRPOPSECFINAL.pdf|Harper, Jon, ‘Army to Release New Wish List for Optionally Manned Fighting Vehicle’, National Defense Magazine, 19 Feb. 2020, https://www.nationaldefensemagazine.org/articles/2020/2/19/army-to-release-new-wish-list-for-optionally-manned-fighting-vehicle|Horowitz, Michael C., The Diffusion of Military Power: Causes and Consequences for International Politics (Princeton, NJ: Princeton UP 2010). |Horowitz, Michael, ‘Artificial Intelligence, International Competition, and the Balance of Power’, Texas National Security Review 1/3 (May 2018), 36–57. https://tnsr.org/2018/05/artificial-intelligence-international-competition-and-the-balance-of-power/|Kaeser, Hans Ulrich, ‘The Future Combat System: What Future Can The Army Afford?’, Center for Strategic and International Studies, 5 Feb. 2009. Working draft, https://csis-website-prod.s3.amazonaws.com/s3fs-public/legacy_files/files/media/csis/pubs/090205_fcsarmy.pdf|Kenyon, Henry, ‘Rapid App Response: Marines to Embed Development Teams with Deployed Units’, GCN, 6 Feb. 2012, https://gcn.com/articles/2012/02/06/marine-corps-apps-embedded-development-teams.aspx|Kleinholz, Joshua, ‘AFwerX Vegas Opens New Doors to Innovation’, Air Combat Command, 23 Aug. 2017, https://www.acc.af.mil/News/Article-Display/Article/1288094/afwerx-vegas-opens-new-doors-to-innovation/|Kollars, Nina A., ‘War’s Horizon: Soldier-Led Adaptation in Iraq and Vietnam’, Journal of Strategic Studies 38/4 (2015), 529–53. DOI:10.1080/01402390.2014.971947 |Krazit, Tom, ‘How the US Air Force Deployed Kubernetes and Istio on an F-16 in 45 Days’, The New Stack, 24 Dec. 2019, https://thenewstack.io/how-the-u-s-air-force-deployed-kubernetes-and-istio-on-an-f-16-in-45-days/|Lake, Daniel R., The Pursuit of Technological Superiority and the Shrinking American Military (New York, NY: Palgrave MacMillan 2019). |Lavelle, Sean, ‘The Navy’s Kessel Run’, US Naval Institute, 3 Jan. 2019, https://blog.usni.org/posts/2019/01/03/the-navys-kessel-run|Leonard, Herman, et al., ‘SOFWERX: Innovation at US Special Operations Command’, Harvard Business School Case 819–004, Jul. 2018. (Open in a new window)Google Scholar|Lindsay, Jon R., Information Technology and Military Power (Ithaca, NY: Cornell UP 2020). |Lofgren, Eric, ‘The Future of Navy Software Development with Lt. Sean Lavelle,’ Acquisition Talk (1 Apr. 2020). Audio. (Open in a new window)Google Scholar|Lofgren, Eric, ‘The Last Frontier of Acquisition Reform: The Budget Process’, Conference Paper, Proceedings of the Seventeenth Annual Acquisition Research Symposium, 13-14 May 2020. Prepared for the Naval Postgraduate School, Monterey, CA. (Open in a new window)Google Scholar|Mabus, Ray, ‘Harnessing the Navy’s Culture of Innovation’, Naval Science and Technology Future Force Magazine, 7 Apr. 2015, https://futureforce.navylive.dodlive.mil/2015/04/harnessing-the-navys-culture-of-innovation/|Magnuson, Stew, ‘AUSA NEWS: Army Futures Command Breaking Down Barriers’, National Defense Magazine, 16 Oct. 2019, https://www.nationaldefensemagazine.org/articles/2019/10/16/army-futures-command-breaking-down-barriers|Mahnken, Thomas G., Technology and the American Way of War since 1945 (New York, NY: Columbia UP 2008). (Open in a new window)Google Scholar|Mansoor, Peter R. and Williamson Murray, (eds.), The Culture of Military Organizations (Cambridge: UK: Cambridge UP 2019). |Mayfield, Mandy, ‘Army Futures Command Establishes “Software Factory”’, National Defense Magazine, 21 Aug. 2020, https://www.nationaldefensemagazine.org/articles/2020/8/21/army-futures-command-establishes-software-factory|McCain, John, ‘Opening Statement by SASC Chairman John McCain at Hearing on DoD Nominations’, Office of Senator John McCain, 14 Nov. 2017, https://www.mccain.senate.gov/public/index.cfm/floor-statements?ID=05DCC73A-F9F2-44E8-A75F-236003222AF2|McQuade, J. Michael et al., ‘Software Is Never Done: Refactoring the Acquisition Code for Competitive Advantage’, Defense Innovation Board, 3 May 2019, https://media.defense.gov/2019/May/01/2002126690/-1/-1/0/SWAP%20EXECUTIVE%20SUMMARY.PDF|Miller, Jason, ‘Air Force’s game-changing approach to cloud accreditation, Federal News Network’, 30 Jul. 2020, https://federalnewsnetwork.com/ask-the-cio/2020/07/air-forces-game-changing-approach-to-cloud-accreditation/|Mori, Satoru, ‘US Defense Innovation and Artificial Intelligence’, Asia-Pacific Review 25/2 (2018), 16–44. DOI:10.1080/13439006.2018.1545488 |NavalXAgility, ‘Scaling Agility, Navy Doubles Tech Bridge Locations,’ 13 May 2020, https://www.navy.mil/submit/display.asp?story_id=112953|Neller, Robert B., ‘Strategy for Assured Command and Control: Enabling C2 for Tomorrow’s Marine Corps, Today’, US Marine Corps, Mar. 2017, https://www.hqmc.marines.mil/Portals/61/Marine_Corps_Strategy_for_Assured_Command_and_Control_March_2017.pdf?ver=2017-05-30-160731-940|Oakley, Shelby S., ‘Defense Acquisitions Annual Assessment: Drive to Deliver Capabilities Faster Increases Importance of Program Knowledge and Consistent Data for Oversight’, Government Accountability Office, Jun. 2020. https://www.gao.gov/assets/710/707359.pdf|Office of the Secretary of Defense, ‘National Defense Strategy of the United States of America: Sharpening the American Military’s Competitive Edge’, Jan. 2018. (Open in a new window)Google Scholar|Office of the Secretary of the Army, ‘Army Directive 2017–22 (Cross-functional Team Pilot in Support of Materiel Development’, 6 Oct. 2017. (Open in a new window)Google Scholar|Perez, Tony and Adam Welch, ‘AFWERX Spark’, in Brian Maue (ed..), Empowering Next Generation Innovators and Innovations (Arlington, VA: AFWERX 2020), 37–49. https://www.afwerx.af.mil/resources/AFWERX-Book.pdf|Pierce, Terry, ‘The Navy Needs a New Engine of Innovation’, Proceedings Magazine 144/11/1389 (Nov 2018). https://www.usni.org/magazines/proceedings/2018/november/navy-needs-new-engine-innovation|Pierce, Terry, Warfighting and Disruptive Technologies: Disguising Innovation (New York, NY: Frank Cass Publishers 2004). |Pomerleau, Mark, ‘Here’s What the Marines’ Information Command Centers Will Do’, C4ISR.net, 6 Dec. 2019, https://www.c4isrnet.com/information-warfare/2019/12/06/heres-what-the-marines-information-command-centers-will-do/|Pomerleau, Mark, ‘The Air Force Is All in on Software’, C4ISRnet, 12 Aug. 2019, https://www.c4isrnet.com/battlefield-tech/2019/08/12/the-air-force-is-all-in-on-software/|Posen, Barry R., ‘Foreward: Military Doctrine and the Management of Uncertainty’, Journal of Strategic Studies 39/2 (2016), 159–73. DOI:10.1080/01402390.2015.1115042 |</v>
      </c>
    </row>
    <row r="69" customFormat="false" ht="158.2" hidden="false" customHeight="false" outlineLevel="0" collapsed="false">
      <c r="A69" s="4" t="s">
        <v>146</v>
      </c>
      <c r="B69" s="3" t="s">
        <v>147</v>
      </c>
      <c r="C69" s="0" t="str">
        <f aca="false">B69&amp;"|"</f>
        <v>Posen, Barry R., The Sources of Military Doctrine: France, Britain, and Germany between the World Wars (Ithaca, NY: Cornell UP 1986). (Open in a new window)Google Scholar|</v>
      </c>
      <c r="D69" s="0" t="str">
        <f aca="false">D68&amp;C69</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|Cote, Owen Reid, Jr., ‘The Politics of Innovative Military Doctrine: The US Navy and Fleet Ballistic Missiles’, Doctoral dissertation, Massachusetts Institute of Technology, Feb. 1996. (Open in a new window)Google Scholar|Cronin, Audrey Kurth, Power to the People: How Open Technological Innovation Is Arming Tomorrow’s Terrorists (Oxford: Oxford UP 2020). (Open in a new window)Google Scholar|Department of the Navy, ‘Unmanned Campaign Network’, 16 Mar. 2021, https://www.navy.mil/Portals/1/Strategic/20210315%20Unmanned%20Campaign_Final_LowRes.pdf?ver=LtCZ-BPlWki6vCBTdgtDMA%3D%3D|DiNapoli, Timothy J., ‘DOD’s Use of Other Transactions for Prototype Projects Has Increased’, Government Accountability Office GAO-20–84, Nov. 2019, https://www.gao.gov/assets/710/702861.pdf|Dunn, Richard L., ‘Other Transactions Contracts: Poorly Understood, Little Used’, National Defense Magazine, 15 May 2017, https://www.nationaldefensemagazine.org/articles/2017/5/15/other-transactions-contracts-poorly-understood-little-used|Easley, Matthew P., ‘Army Artificial Intelligence Task Force (AI-TF)’, US Army Futures Command (2019). https://www.clsac.org/uploads/5/0/6/3/50633811/2019-easley-aiml.pdf|Eckhardt, Jonathan T., Michael P. Ciuchta, and Mason Carpenter, ‘Open Innovation, Information, and Entrepreneurship within Platform Ecosystems’, Strategic Entrepreneurship Journal 12 (2018), 369–91. DOI:10.1002/sej.1298 |Eckstein, Megan, ‘Marine Corps Information Community Growing in Capability, Trying to Find Its Place in Joint Operations’, USNI News, 7 Jan. 2020, https://news.usni.org/2020/01/07/marine-corps-information-community-growing-in-capability-trying-to-find-its-place-in-joint-operations|Eversden, Andrew, ‘The Army AI Task Force Takes on Two ‘Key’ Projects’, C4ISRnet, 10 Jun. 2020, https://www.c4isrnet.com/artificial-intelligence/2020/06/10/the-army-ai-task-force-takes-on-two-key-projects/|Farrell, Theo, Sten Rynning, and Terry Terriff, Transforming Military Power since the Cold War: Britain, France, and the United States, 1991–2012 (Cambridge, UK: Cambridge UP 2013). |Feickert, Andrew and Brendan W. McGarry, ‘The Army’s Modernization Strategy: Congressional Oversight Considerations’, Congressional Research Service, 7 Feb. 2020, https://www.everycrsreport.com/files/20200207_R46216_444d93a212c95fd2fba1a596d520ca263a833307.pdf|Feickert, Andrew, ‘The Army’s Future Combat System (FCS): Background and Issues for Congress’, Congressional Research Services, 5 May 2006, https://www.everycrsreport.com/files/20060505_RL32888_bd0c5e4691669243ba6aacea43a6ce91c182246e.pdf|Fiott, Daniel, ‘A Revolution Too Far? US Defence Innovation, Europe and NATO’s Military-Technological Gap’, Journal of Strategic Studies 40/3 (2017), 417–37. DOI:10.1080/01402390.2016.1176565 |Gansler, Jacques, Democracy’s Arsenal: Creating a Twenty-First Century Defense Industry (Cambridge, MA: MIT UP 2011). |Geurts, James F., ‘The Department of the Navy Fiscal Year 2020 Budget Request for Science and Technology Programs’, House Armed Services Committee, 28 Mar. 2019. https://armedservices.house.gov/_cache/files/c/4/c46d8d7f-cade-4487-bae0-f87943aa205e/5AD8EA25BA971C25EF67C083034A43F2.hhrg-116-as26-wstate-geurtsj-20190328.pdf|Gilli, Andrea and Mauro Gilli, ‘Why China Has Not Caught Up Yet: Military-Technological Superiority and the Limits of Imitation, Reverse Engineering, and Cyber Espionage’, International Security 43/3 ( Winter 2018/19), 141–89. DOI:10.1162/isec_a_00337 |Glavy, Matthew G. and Brett Goldstein, ‘The Battle for Mon Cala: Getting the Military to Deliver Its Own Tech Solutions’, War On The Rocks, 20 Aug. 2020, https://warontherocks.com/2020/08/the-battle-for-mon-cala-getting-the-military-to-deliver-its-own-tech-solutions/|Griffin, Stuart, ‘Military Innovation Studies: Multidisciplinary or Lacking Discipline?’, Journal of Strategic Studies 40/1/2 (2016), 196–224. DOI:10.1080/01402390.2016.1196358 |Grissom, Andrew, ‘The Future of Military Innovation Studies’, Journal of Strategic Studies 29/5 (Oct. 2006), 905–34. DOI:10.1080/01402390600901067. |Haduch, Thomas W., ‘Maintaining the US Army Research, Development and Engineering Command Prototype Integration Facilities’, Defense Acquisition University Press. May 2014, https://www.dau.edu/training/career-development/sscf/Documents/T.%20HaduchSSCF2014SRPOPSECFINAL.pdf|Harper, Jon, ‘Army to Release New Wish List for Optionally Manned Fighting Vehicle’, National Defense Magazine, 19 Feb. 2020, https://www.nationaldefensemagazine.org/articles/2020/2/19/army-to-release-new-wish-list-for-optionally-manned-fighting-vehicle|Horowitz, Michael C., The Diffusion of Military Power: Causes and Consequences for International Politics (Princeton, NJ: Princeton UP 2010). |Horowitz, Michael, ‘Artificial Intelligence, International Competition, and the Balance of Power’, Texas National Security Review 1/3 (May 2018), 36–57. https://tnsr.org/2018/05/artificial-intelligence-international-competition-and-the-balance-of-power/|Kaeser, Hans Ulrich, ‘The Future Combat System: What Future Can The Army Afford?’, Center for Strategic and International Studies, 5 Feb. 2009. Working draft, https://csis-website-prod.s3.amazonaws.com/s3fs-public/legacy_files/files/media/csis/pubs/090205_fcsarmy.pdf|Kenyon, Henry, ‘Rapid App Response: Marines to Embed Development Teams with Deployed Units’, GCN, 6 Feb. 2012, https://gcn.com/articles/2012/02/06/marine-corps-apps-embedded-development-teams.aspx|Kleinholz, Joshua, ‘AFwerX Vegas Opens New Doors to Innovation’, Air Combat Command, 23 Aug. 2017, https://www.acc.af.mil/News/Article-Display/Article/1288094/afwerx-vegas-opens-new-doors-to-innovation/|Kollars, Nina A., ‘War’s Horizon: Soldier-Led Adaptation in Iraq and Vietnam’, Journal of Strategic Studies 38/4 (2015), 529–53. DOI:10.1080/01402390.2014.971947 |Krazit, Tom, ‘How the US Air Force Deployed Kubernetes and Istio on an F-16 in 45 Days’, The New Stack, 24 Dec. 2019, https://thenewstack.io/how-the-u-s-air-force-deployed-kubernetes-and-istio-on-an-f-16-in-45-days/|Lake, Daniel R., The Pursuit of Technological Superiority and the Shrinking American Military (New York, NY: Palgrave MacMillan 2019). |Lavelle, Sean, ‘The Navy’s Kessel Run’, US Naval Institute, 3 Jan. 2019, https://blog.usni.org/posts/2019/01/03/the-navys-kessel-run|Leonard, Herman, et al., ‘SOFWERX: Innovation at US Special Operations Command’, Harvard Business School Case 819–004, Jul. 2018. (Open in a new window)Google Scholar|Lindsay, Jon R., Information Technology and Military Power (Ithaca, NY: Cornell UP 2020). |Lofgren, Eric, ‘The Future of Navy Software Development with Lt. Sean Lavelle,’ Acquisition Talk (1 Apr. 2020). Audio. (Open in a new window)Google Scholar|Lofgren, Eric, ‘The Last Frontier of Acquisition Reform: The Budget Process’, Conference Paper, Proceedings of the Seventeenth Annual Acquisition Research Symposium, 13-14 May 2020. Prepared for the Naval Postgraduate School, Monterey, CA. (Open in a new window)Google Scholar|Mabus, Ray, ‘Harnessing the Navy’s Culture of Innovation’, Naval Science and Technology Future Force Magazine, 7 Apr. 2015, https://futureforce.navylive.dodlive.mil/2015/04/harnessing-the-navys-culture-of-innovation/|Magnuson, Stew, ‘AUSA NEWS: Army Futures Command Breaking Down Barriers’, National Defense Magazine, 16 Oct. 2019, https://www.nationaldefensemagazine.org/articles/2019/10/16/army-futures-command-breaking-down-barriers|Mahnken, Thomas G., Technology and the American Way of War since 1945 (New York, NY: Columbia UP 2008). (Open in a new window)Google Scholar|Mansoor, Peter R. and Williamson Murray, (eds.), The Culture of Military Organizations (Cambridge: UK: Cambridge UP 2019). |Mayfield, Mandy, ‘Army Futures Command Establishes “Software Factory”’, National Defense Magazine, 21 Aug. 2020, https://www.nationaldefensemagazine.org/articles/2020/8/21/army-futures-command-establishes-software-factory|McCain, John, ‘Opening Statement by SASC Chairman John McCain at Hearing on DoD Nominations’, Office of Senator John McCain, 14 Nov. 2017, https://www.mccain.senate.gov/public/index.cfm/floor-statements?ID=05DCC73A-F9F2-44E8-A75F-236003222AF2|McQuade, J. Michael et al., ‘Software Is Never Done: Refactoring the Acquisition Code for Competitive Advantage’, Defense Innovation Board, 3 May 2019, https://media.defense.gov/2019/May/01/2002126690/-1/-1/0/SWAP%20EXECUTIVE%20SUMMARY.PDF|Miller, Jason, ‘Air Force’s game-changing approach to cloud accreditation, Federal News Network’, 30 Jul. 2020, https://federalnewsnetwork.com/ask-the-cio/2020/07/air-forces-game-changing-approach-to-cloud-accreditation/|Mori, Satoru, ‘US Defense Innovation and Artificial Intelligence’, Asia-Pacific Review 25/2 (2018), 16–44. DOI:10.1080/13439006.2018.1545488 |NavalXAgility, ‘Scaling Agility, Navy Doubles Tech Bridge Locations,’ 13 May 2020, https://www.navy.mil/submit/display.asp?story_id=112953|Neller, Robert B., ‘Strategy for Assured Command and Control: Enabling C2 for Tomorrow’s Marine Corps, Today’, US Marine Corps, Mar. 2017, https://www.hqmc.marines.mil/Portals/61/Marine_Corps_Strategy_for_Assured_Command_and_Control_March_2017.pdf?ver=2017-05-30-160731-940|Oakley, Shelby S., ‘Defense Acquisitions Annual Assessment: Drive to Deliver Capabilities Faster Increases Importance of Program Knowledge and Consistent Data for Oversight’, Government Accountability Office, Jun. 2020. https://www.gao.gov/assets/710/707359.pdf|Office of the Secretary of Defense, ‘National Defense Strategy of the United States of America: Sharpening the American Military’s Competitive Edge’, Jan. 2018. (Open in a new window)Google Scholar|Office of the Secretary of the Army, ‘Army Directive 2017–22 (Cross-functional Team Pilot in Support of Materiel Development’, 6 Oct. 2017. (Open in a new window)Google Scholar|Perez, Tony and Adam Welch, ‘AFWERX Spark’, in Brian Maue (ed..), Empowering Next Generation Innovators and Innovations (Arlington, VA: AFWERX 2020), 37–49. https://www.afwerx.af.mil/resources/AFWERX-Book.pdf|Pierce, Terry, ‘The Navy Needs a New Engine of Innovation’, Proceedings Magazine 144/11/1389 (Nov 2018). https://www.usni.org/magazines/proceedings/2018/november/navy-needs-new-engine-innovation|Pierce, Terry, Warfighting and Disruptive Technologies: Disguising Innovation (New York, NY: Frank Cass Publishers 2004). |Pomerleau, Mark, ‘Here’s What the Marines’ Information Command Centers Will Do’, C4ISR.net, 6 Dec. 2019, https://www.c4isrnet.com/information-warfare/2019/12/06/heres-what-the-marines-information-command-centers-will-do/|Pomerleau, Mark, ‘The Air Force Is All in on Software’, C4ISRnet, 12 Aug. 2019, https://www.c4isrnet.com/battlefield-tech/2019/08/12/the-air-force-is-all-in-on-software/|Posen, Barry R., ‘Foreward: Military Doctrine and the Management of Uncertainty’, Journal of Strategic Studies 39/2 (2016), 159–73. DOI:10.1080/01402390.2015.1115042 |Posen, Barry R., The Sources of Military Doctrine: France, Britain, and Germany between the World Wars (Ithaca, NY: Cornell UP 1986). (Open in a new window)Google Scholar|</v>
      </c>
    </row>
    <row r="70" customFormat="false" ht="158.2" hidden="false" customHeight="false" outlineLevel="0" collapsed="false">
      <c r="A70" s="4" t="s">
        <v>148</v>
      </c>
      <c r="B70" s="3" t="s">
        <v>148</v>
      </c>
      <c r="C70" s="0" t="str">
        <f aca="false">B70&amp;"|"</f>
        <v>Raska, Michael, ‘The Sixth RMA Wave: Disruption in Military Affairs?’. Journal of Strategic Studies (2020), 1–24. DOI:10.1080/01402390.2020.1848818 |</v>
      </c>
      <c r="D70" s="0" t="str">
        <f aca="false">D69&amp;C70</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|Cote, Owen Reid, Jr., ‘The Politics of Innovative Military Doctrine: The US Navy and Fleet Ballistic Missiles’, Doctoral dissertation, Massachusetts Institute of Technology, Feb. 1996. (Open in a new window)Google Scholar|Cronin, Audrey Kurth, Power to the People: How Open Technological Innovation Is Arming Tomorrow’s Terrorists (Oxford: Oxford UP 2020). (Open in a new window)Google Scholar|Department of the Navy, ‘Unmanned Campaign Network’, 16 Mar. 2021, https://www.navy.mil/Portals/1/Strategic/20210315%20Unmanned%20Campaign_Final_LowRes.pdf?ver=LtCZ-BPlWki6vCBTdgtDMA%3D%3D|DiNapoli, Timothy J., ‘DOD’s Use of Other Transactions for Prototype Projects Has Increased’, Government Accountability Office GAO-20–84, Nov. 2019, https://www.gao.gov/assets/710/702861.pdf|Dunn, Richard L., ‘Other Transactions Contracts: Poorly Understood, Little Used’, National Defense Magazine, 15 May 2017, https://www.nationaldefensemagazine.org/articles/2017/5/15/other-transactions-contracts-poorly-understood-little-used|Easley, Matthew P., ‘Army Artificial Intelligence Task Force (AI-TF)’, US Army Futures Command (2019). https://www.clsac.org/uploads/5/0/6/3/50633811/2019-easley-aiml.pdf|Eckhardt, Jonathan T., Michael P. Ciuchta, and Mason Carpenter, ‘Open Innovation, Information, and Entrepreneurship within Platform Ecosystems’, Strategic Entrepreneurship Journal 12 (2018), 369–91. DOI:10.1002/sej.1298 |Eckstein, Megan, ‘Marine Corps Information Community Growing in Capability, Trying to Find Its Place in Joint Operations’, USNI News, 7 Jan. 2020, https://news.usni.org/2020/01/07/marine-corps-information-community-growing-in-capability-trying-to-find-its-place-in-joint-operations|Eversden, Andrew, ‘The Army AI Task Force Takes on Two ‘Key’ Projects’, C4ISRnet, 10 Jun. 2020, https://www.c4isrnet.com/artificial-intelligence/2020/06/10/the-army-ai-task-force-takes-on-two-key-projects/|Farrell, Theo, Sten Rynning, and Terry Terriff, Transforming Military Power since the Cold War: Britain, France, and the United States, 1991–2012 (Cambridge, UK: Cambridge UP 2013). |Feickert, Andrew and Brendan W. McGarry, ‘The Army’s Modernization Strategy: Congressional Oversight Considerations’, Congressional Research Service, 7 Feb. 2020, https://www.everycrsreport.com/files/20200207_R46216_444d93a212c95fd2fba1a596d520ca263a833307.pdf|Feickert, Andrew, ‘The Army’s Future Combat System (FCS): Background and Issues for Congress’, Congressional Research Services, 5 May 2006, https://www.everycrsreport.com/files/20060505_RL32888_bd0c5e4691669243ba6aacea43a6ce91c182246e.pdf|Fiott, Daniel, ‘A Revolution Too Far? US Defence Innovation, Europe and NATO’s Military-Technological Gap’, Journal of Strategic Studies 40/3 (2017), 417–37. DOI:10.1080/01402390.2016.1176565 |Gansler, Jacques, Democracy’s Arsenal: Creating a Twenty-First Century Defense Industry (Cambridge, MA: MIT UP 2011). |Geurts, James F., ‘The Department of the Navy Fiscal Year 2020 Budget Request for Science and Technology Programs’, House Armed Services Committee, 28 Mar. 2019. https://armedservices.house.gov/_cache/files/c/4/c46d8d7f-cade-4487-bae0-f87943aa205e/5AD8EA25BA971C25EF67C083034A43F2.hhrg-116-as26-wstate-geurtsj-20190328.pdf|Gilli, Andrea and Mauro Gilli, ‘Why China Has Not Caught Up Yet: Military-Technological Superiority and the Limits of Imitation, Reverse Engineering, and Cyber Espionage’, International Security 43/3 ( Winter 2018/19), 141–89. DOI:10.1162/isec_a_00337 |Glavy, Matthew G. and Brett Goldstein, ‘The Battle for Mon Cala: Getting the Military to Deliver Its Own Tech Solutions’, War On The Rocks, 20 Aug. 2020, https://warontherocks.com/2020/08/the-battle-for-mon-cala-getting-the-military-to-deliver-its-own-tech-solutions/|Griffin, Stuart, ‘Military Innovation Studies: Multidisciplinary or Lacking Discipline?’, Journal of Strategic Studies 40/1/2 (2016), 196–224. DOI:10.1080/01402390.2016.1196358 |Grissom, Andrew, ‘The Future of Military Innovation Studies’, Journal of Strategic Studies 29/5 (Oct. 2006), 905–34. DOI:10.1080/01402390600901067. |Haduch, Thomas W., ‘Maintaining the US Army Research, Development and Engineering Command Prototype Integration Facilities’, Defense Acquisition University Press. May 2014, https://www.dau.edu/training/career-development/sscf/Documents/T.%20HaduchSSCF2014SRPOPSECFINAL.pdf|Harper, Jon, ‘Army to Release New Wish List for Optionally Manned Fighting Vehicle’, National Defense Magazine, 19 Feb. 2020, https://www.nationaldefensemagazine.org/articles/2020/2/19/army-to-release-new-wish-list-for-optionally-manned-fighting-vehicle|Horowitz, Michael C., The Diffusion of Military Power: Causes and Consequences for International Politics (Princeton, NJ: Princeton UP 2010). |Horowitz, Michael, ‘Artificial Intelligence, International Competition, and the Balance of Power’, Texas National Security Review 1/3 (May 2018), 36–57. https://tnsr.org/2018/05/artificial-intelligence-international-competition-and-the-balance-of-power/|Kaeser, Hans Ulrich, ‘The Future Combat System: What Future Can The Army Afford?’, Center for Strategic and International Studies, 5 Feb. 2009. Working draft, https://csis-website-prod.s3.amazonaws.com/s3fs-public/legacy_files/files/media/csis/pubs/090205_fcsarmy.pdf|Kenyon, Henry, ‘Rapid App Response: Marines to Embed Development Teams with Deployed Units’, GCN, 6 Feb. 2012, https://gcn.com/articles/2012/02/06/marine-corps-apps-embedded-development-teams.aspx|Kleinholz, Joshua, ‘AFwerX Vegas Opens New Doors to Innovation’, Air Combat Command, 23 Aug. 2017, https://www.acc.af.mil/News/Article-Display/Article/1288094/afwerx-vegas-opens-new-doors-to-innovation/|Kollars, Nina A., ‘War’s Horizon: Soldier-Led Adaptation in Iraq and Vietnam’, Journal of Strategic Studies 38/4 (2015), 529–53. DOI:10.1080/01402390.2014.971947 |Krazit, Tom, ‘How the US Air Force Deployed Kubernetes and Istio on an F-16 in 45 Days’, The New Stack, 24 Dec. 2019, https://thenewstack.io/how-the-u-s-air-force-deployed-kubernetes-and-istio-on-an-f-16-in-45-days/|Lake, Daniel R., The Pursuit of Technological Superiority and the Shrinking American Military (New York, NY: Palgrave MacMillan 2019). |Lavelle, Sean, ‘The Navy’s Kessel Run’, US Naval Institute, 3 Jan. 2019, https://blog.usni.org/posts/2019/01/03/the-navys-kessel-run|Leonard, Herman, et al., ‘SOFWERX: Innovation at US Special Operations Command’, Harvard Business School Case 819–004, Jul. 2018. (Open in a new window)Google Scholar|Lindsay, Jon R., Information Technology and Military Power (Ithaca, NY: Cornell UP 2020). |Lofgren, Eric, ‘The Future of Navy Software Development with Lt. Sean Lavelle,’ Acquisition Talk (1 Apr. 2020). Audio. (Open in a new window)Google Scholar|Lofgren, Eric, ‘The Last Frontier of Acquisition Reform: The Budget Process’, Conference Paper, Proceedings of the Seventeenth Annual Acquisition Research Symposium, 13-14 May 2020. Prepared for the Naval Postgraduate School, Monterey, CA. (Open in a new window)Google Scholar|Mabus, Ray, ‘Harnessing the Navy’s Culture of Innovation’, Naval Science and Technology Future Force Magazine, 7 Apr. 2015, https://futureforce.navylive.dodlive.mil/2015/04/harnessing-the-navys-culture-of-innovation/|Magnuson, Stew, ‘AUSA NEWS: Army Futures Command Breaking Down Barriers’, National Defense Magazine, 16 Oct. 2019, https://www.nationaldefensemagazine.org/articles/2019/10/16/army-futures-command-breaking-down-barriers|Mahnken, Thomas G., Technology and the American Way of War since 1945 (New York, NY: Columbia UP 2008). (Open in a new window)Google Scholar|Mansoor, Peter R. and Williamson Murray, (eds.), The Culture of Military Organizations (Cambridge: UK: Cambridge UP 2019). |Mayfield, Mandy, ‘Army Futures Command Establishes “Software Factory”’, National Defense Magazine, 21 Aug. 2020, https://www.nationaldefensemagazine.org/articles/2020/8/21/army-futures-command-establishes-software-factory|McCain, John, ‘Opening Statement by SASC Chairman John McCain at Hearing on DoD Nominations’, Office of Senator John McCain, 14 Nov. 2017, https://www.mccain.senate.gov/public/index.cfm/floor-statements?ID=05DCC73A-F9F2-44E8-A75F-236003222AF2|McQuade, J. Michael et al., ‘Software Is Never Done: Refactoring the Acquisition Code for Competitive Advantage’, Defense Innovation Board, 3 May 2019, https://media.defense.gov/2019/May/01/2002126690/-1/-1/0/SWAP%20EXECUTIVE%20SUMMARY.PDF|Miller, Jason, ‘Air Force’s game-changing approach to cloud accreditation, Federal News Network’, 30 Jul. 2020, https://federalnewsnetwork.com/ask-the-cio/2020/07/air-forces-game-changing-approach-to-cloud-accreditation/|Mori, Satoru, ‘US Defense Innovation and Artificial Intelligence’, Asia-Pacific Review 25/2 (2018), 16–44. DOI:10.1080/13439006.2018.1545488 |NavalXAgility, ‘Scaling Agility, Navy Doubles Tech Bridge Locations,’ 13 May 2020, https://www.navy.mil/submit/display.asp?story_id=112953|Neller, Robert B., ‘Strategy for Assured Command and Control: Enabling C2 for Tomorrow’s Marine Corps, Today’, US Marine Corps, Mar. 2017, https://www.hqmc.marines.mil/Portals/61/Marine_Corps_Strategy_for_Assured_Command_and_Control_March_2017.pdf?ver=2017-05-30-160731-940|Oakley, Shelby S., ‘Defense Acquisitions Annual Assessment: Drive to Deliver Capabilities Faster Increases Importance of Program Knowledge and Consistent Data for Oversight’, Government Accountability Office, Jun. 2020. https://www.gao.gov/assets/710/707359.pdf|Office of the Secretary of Defense, ‘National Defense Strategy of the United States of America: Sharpening the American Military’s Competitive Edge’, Jan. 2018. (Open in a new window)Google Scholar|Office of the Secretary of the Army, ‘Army Directive 2017–22 (Cross-functional Team Pilot in Support of Materiel Development’, 6 Oct. 2017. (Open in a new window)Google Scholar|Perez, Tony and Adam Welch, ‘AFWERX Spark’, in Brian Maue (ed..), Empowering Next Generation Innovators and Innovations (Arlington, VA: AFWERX 2020), 37–49. https://www.afwerx.af.mil/resources/AFWERX-Book.pdf|Pierce, Terry, ‘The Navy Needs a New Engine of Innovation’, Proceedings Magazine 144/11/1389 (Nov 2018). https://www.usni.org/magazines/proceedings/2018/november/navy-needs-new-engine-innovation|Pierce, Terry, Warfighting and Disruptive Technologies: Disguising Innovation (New York, NY: Frank Cass Publishers 2004). |Pomerleau, Mark, ‘Here’s What the Marines’ Information Command Centers Will Do’, C4ISR.net, 6 Dec. 2019, https://www.c4isrnet.com/information-warfare/2019/12/06/heres-what-the-marines-information-command-centers-will-do/|Pomerleau, Mark, ‘The Air Force Is All in on Software’, C4ISRnet, 12 Aug. 2019, https://www.c4isrnet.com/battlefield-tech/2019/08/12/the-air-force-is-all-in-on-software/|Posen, Barry R., ‘Foreward: Military Doctrine and the Management of Uncertainty’, Journal of Strategic Studies 39/2 (2016), 159–73. DOI:10.1080/01402390.2015.1115042 |Posen, Barry R., The Sources of Military Doctrine: France, Britain, and Germany between the World Wars (Ithaca, NY: Cornell UP 1986). (Open in a new window)Google Scholar|Raska, Michael, ‘The Sixth RMA Wave: Disruption in Military Affairs?’. Journal of Strategic Studies (2020), 1–24. DOI:10.1080/01402390.2020.1848818 |</v>
      </c>
    </row>
    <row r="71" customFormat="false" ht="113.4" hidden="false" customHeight="false" outlineLevel="0" collapsed="false">
      <c r="A71" s="4" t="s">
        <v>149</v>
      </c>
      <c r="B71" s="3" t="s">
        <v>150</v>
      </c>
      <c r="C71" s="0" t="str">
        <f aca="false">B71&amp;"|"</f>
        <v>Richardson, John, ‘The Future Navy’, Office of the Chief of Naval Operations, 17 May 2017, https://admin.govexec.com/media/gbc/docs/pdfs_edit/futurenavyfinal.pdf|</v>
      </c>
      <c r="D71" s="0" t="str">
        <f aca="false">D70&amp;C71</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|Cote, Owen Reid, Jr., ‘The Politics of Innovative Military Doctrine: The US Navy and Fleet Ballistic Missiles’, Doctoral dissertation, Massachusetts Institute of Technology, Feb. 1996. (Open in a new window)Google Scholar|Cronin, Audrey Kurth, Power to the People: How Open Technological Innovation Is Arming Tomorrow’s Terrorists (Oxford: Oxford UP 2020). (Open in a new window)Google Scholar|Department of the Navy, ‘Unmanned Campaign Network’, 16 Mar. 2021, https://www.navy.mil/Portals/1/Strategic/20210315%20Unmanned%20Campaign_Final_LowRes.pdf?ver=LtCZ-BPlWki6vCBTdgtDMA%3D%3D|DiNapoli, Timothy J., ‘DOD’s Use of Other Transactions for Prototype Projects Has Increased’, Government Accountability Office GAO-20–84, Nov. 2019, https://www.gao.gov/assets/710/702861.pdf|Dunn, Richard L., ‘Other Transactions Contracts: Poorly Understood, Little Used’, National Defense Magazine, 15 May 2017, https://www.nationaldefensemagazine.org/articles/2017/5/15/other-transactions-contracts-poorly-understood-little-used|Easley, Matthew P., ‘Army Artificial Intelligence Task Force (AI-TF)’, US Army Futures Command (2019). https://www.clsac.org/uploads/5/0/6/3/50633811/2019-easley-aiml.pdf|Eckhardt, Jonathan T., Michael P. Ciuchta, and Mason Carpenter, ‘Open Innovation, Information, and Entrepreneurship within Platform Ecosystems’, Strategic Entrepreneurship Journal 12 (2018), 369–91. DOI:10.1002/sej.1298 |Eckstein, Megan, ‘Marine Corps Information Community Growing in Capability, Trying to Find Its Place in Joint Operations’, USNI News, 7 Jan. 2020, https://news.usni.org/2020/01/07/marine-corps-information-community-growing-in-capability-trying-to-find-its-place-in-joint-operations|Eversden, Andrew, ‘The Army AI Task Force Takes on Two ‘Key’ Projects’, C4ISRnet, 10 Jun. 2020, https://www.c4isrnet.com/artificial-intelligence/2020/06/10/the-army-ai-task-force-takes-on-two-key-projects/|Farrell, Theo, Sten Rynning, and Terry Terriff, Transforming Military Power since the Cold War: Britain, France, and the United States, 1991–2012 (Cambridge, UK: Cambridge UP 2013). |Feickert, Andrew and Brendan W. McGarry, ‘The Army’s Modernization Strategy: Congressional Oversight Considerations’, Congressional Research Service, 7 Feb. 2020, https://www.everycrsreport.com/files/20200207_R46216_444d93a212c95fd2fba1a596d520ca263a833307.pdf|Feickert, Andrew, ‘The Army’s Future Combat System (FCS): Background and Issues for Congress’, Congressional Research Services, 5 May 2006, https://www.everycrsreport.com/files/20060505_RL32888_bd0c5e4691669243ba6aacea43a6ce91c182246e.pdf|Fiott, Daniel, ‘A Revolution Too Far? US Defence Innovation, Europe and NATO’s Military-Technological Gap’, Journal of Strategic Studies 40/3 (2017), 417–37. DOI:10.1080/01402390.2016.1176565 |Gansler, Jacques, Democracy’s Arsenal: Creating a Twenty-First Century Defense Industry (Cambridge, MA: MIT UP 2011). |Geurts, James F., ‘The Department of the Navy Fiscal Year 2020 Budget Request for Science and Technology Programs’, House Armed Services Committee, 28 Mar. 2019. https://armedservices.house.gov/_cache/files/c/4/c46d8d7f-cade-4487-bae0-f87943aa205e/5AD8EA25BA971C25EF67C083034A43F2.hhrg-116-as26-wstate-geurtsj-20190328.pdf|Gilli, Andrea and Mauro Gilli, ‘Why China Has Not Caught Up Yet: Military-Technological Superiority and the Limits of Imitation, Reverse Engineering, and Cyber Espionage’, International Security 43/3 ( Winter 2018/19), 141–89. DOI:10.1162/isec_a_00337 |Glavy, Matthew G. and Brett Goldstein, ‘The Battle for Mon Cala: Getting the Military to Deliver Its Own Tech Solutions’, War On The Rocks, 20 Aug. 2020, https://warontherocks.com/2020/08/the-battle-for-mon-cala-getting-the-military-to-deliver-its-own-tech-solutions/|Griffin, Stuart, ‘Military Innovation Studies: Multidisciplinary or Lacking Discipline?’, Journal of Strategic Studies 40/1/2 (2016), 196–224. DOI:10.1080/01402390.2016.1196358 |Grissom, Andrew, ‘The Future of Military Innovation Studies’, Journal of Strategic Studies 29/5 (Oct. 2006), 905–34. DOI:10.1080/01402390600901067. |Haduch, Thomas W., ‘Maintaining the US Army Research, Development and Engineering Command Prototype Integration Facilities’, Defense Acquisition University Press. May 2014, https://www.dau.edu/training/career-development/sscf/Documents/T.%20HaduchSSCF2014SRPOPSECFINAL.pdf|Harper, Jon, ‘Army to Release New Wish List for Optionally Manned Fighting Vehicle’, National Defense Magazine, 19 Feb. 2020, https://www.nationaldefensemagazine.org/articles/2020/2/19/army-to-release-new-wish-list-for-optionally-manned-fighting-vehicle|Horowitz, Michael C., The Diffusion of Military Power: Causes and Consequences for International Politics (Princeton, NJ: Princeton UP 2010). |Horowitz, Michael, ‘Artificial Intelligence, International Competition, and the Balance of Power’, Texas National Security Review 1/3 (May 2018), 36–57. https://tnsr.org/2018/05/artificial-intelligence-international-competition-and-the-balance-of-power/|Kaeser, Hans Ulrich, ‘The Future Combat System: What Future Can The Army Afford?’, Center for Strategic and International Studies, 5 Feb. 2009. Working draft, https://csis-website-prod.s3.amazonaws.com/s3fs-public/legacy_files/files/media/csis/pubs/090205_fcsarmy.pdf|Kenyon, Henry, ‘Rapid App Response: Marines to Embed Development Teams with Deployed Units’, GCN, 6 Feb. 2012, https://gcn.com/articles/2012/02/06/marine-corps-apps-embedded-development-teams.aspx|Kleinholz, Joshua, ‘AFwerX Vegas Opens New Doors to Innovation’, Air Combat Command, 23 Aug. 2017, https://www.acc.af.mil/News/Article-Display/Article/1288094/afwerx-vegas-opens-new-doors-to-innovation/|Kollars, Nina A., ‘War’s Horizon: Soldier-Led Adaptation in Iraq and Vietnam’, Journal of Strategic Studies 38/4 (2015), 529–53. DOI:10.1080/01402390.2014.971947 |Krazit, Tom, ‘How the US Air Force Deployed Kubernetes and Istio on an F-16 in 45 Days’, The New Stack, 24 Dec. 2019, https://thenewstack.io/how-the-u-s-air-force-deployed-kubernetes-and-istio-on-an-f-16-in-45-days/|Lake, Daniel R., The Pursuit of Technological Superiority and the Shrinking American Military (New York, NY: Palgrave MacMillan 2019). |Lavelle, Sean, ‘The Navy’s Kessel Run’, US Naval Institute, 3 Jan. 2019, https://blog.usni.org/posts/2019/01/03/the-navys-kessel-run|Leonard, Herman, et al., ‘SOFWERX: Innovation at US Special Operations Command’, Harvard Business School Case 819–004, Jul. 2018. (Open in a new window)Google Scholar|Lindsay, Jon R., Information Technology and Military Power (Ithaca, NY: Cornell UP 2020). |Lofgren, Eric, ‘The Future of Navy Software Development with Lt. Sean Lavelle,’ Acquisition Talk (1 Apr. 2020). Audio. (Open in a new window)Google Scholar|Lofgren, Eric, ‘The Last Frontier of Acquisition Reform: The Budget Process’, Conference Paper, Proceedings of the Seventeenth Annual Acquisition Research Symposium, 13-14 May 2020. Prepared for the Naval Postgraduate School, Monterey, CA. (Open in a new window)Google Scholar|Mabus, Ray, ‘Harnessing the Navy’s Culture of Innovation’, Naval Science and Technology Future Force Magazine, 7 Apr. 2015, https://futureforce.navylive.dodlive.mil/2015/04/harnessing-the-navys-culture-of-innovation/|Magnuson, Stew, ‘AUSA NEWS: Army Futures Command Breaking Down Barriers’, National Defense Magazine, 16 Oct. 2019, https://www.nationaldefensemagazine.org/articles/2019/10/16/army-futures-command-breaking-down-barriers|Mahnken, Thomas G., Technology and the American Way of War since 1945 (New York, NY: Columbia UP 2008). (Open in a new window)Google Scholar|Mansoor, Peter R. and Williamson Murray, (eds.), The Culture of Military Organizations (Cambridge: UK: Cambridge UP 2019). |Mayfield, Mandy, ‘Army Futures Command Establishes “Software Factory”’, National Defense Magazine, 21 Aug. 2020, https://www.nationaldefensemagazine.org/articles/2020/8/21/army-futures-command-establishes-software-factory|McCain, John, ‘Opening Statement by SASC Chairman John McCain at Hearing on DoD Nominations’, Office of Senator John McCain, 14 Nov. 2017, https://www.mccain.senate.gov/public/index.cfm/floor-statements?ID=05DCC73A-F9F2-44E8-A75F-236003222AF2|McQuade, J. Michael et al., ‘Software Is Never Done: Refactoring the Acquisition Code for Competitive Advantage’, Defense Innovation Board, 3 May 2019, https://media.defense.gov/2019/May/01/2002126690/-1/-1/0/SWAP%20EXECUTIVE%20SUMMARY.PDF|Miller, Jason, ‘Air Force’s game-changing approach to cloud accreditation, Federal News Network’, 30 Jul. 2020, https://federalnewsnetwork.com/ask-the-cio/2020/07/air-forces-game-changing-approach-to-cloud-accreditation/|Mori, Satoru, ‘US Defense Innovation and Artificial Intelligence’, Asia-Pacific Review 25/2 (2018), 16–44. DOI:10.1080/13439006.2018.1545488 |NavalXAgility, ‘Scaling Agility, Navy Doubles Tech Bridge Locations,’ 13 May 2020, https://www.navy.mil/submit/display.asp?story_id=112953|Neller, Robert B., ‘Strategy for Assured Command and Control: Enabling C2 for Tomorrow’s Marine Corps, Today’, US Marine Corps, Mar. 2017, https://www.hqmc.marines.mil/Portals/61/Marine_Corps_Strategy_for_Assured_Command_and_Control_March_2017.pdf?ver=2017-05-30-160731-940|Oakley, Shelby S., ‘Defense Acquisitions Annual Assessment: Drive to Deliver Capabilities Faster Increases Importance of Program Knowledge and Consistent Data for Oversight’, Government Accountability Office, Jun. 2020. https://www.gao.gov/assets/710/707359.pdf|Office of the Secretary of Defense, ‘National Defense Strategy of the United States of America: Sharpening the American Military’s Competitive Edge’, Jan. 2018. (Open in a new window)Google Scholar|Office of the Secretary of the Army, ‘Army Directive 2017–22 (Cross-functional Team Pilot in Support of Materiel Development’, 6 Oct. 2017. (Open in a new window)Google Scholar|Perez, Tony and Adam Welch, ‘AFWERX Spark’, in Brian Maue (ed..), Empowering Next Generation Innovators and Innovations (Arlington, VA: AFWERX 2020), 37–49. https://www.afwerx.af.mil/resources/AFWERX-Book.pdf|Pierce, Terry, ‘The Navy Needs a New Engine of Innovation’, Proceedings Magazine 144/11/1389 (Nov 2018). https://www.usni.org/magazines/proceedings/2018/november/navy-needs-new-engine-innovation|Pierce, Terry, Warfighting and Disruptive Technologies: Disguising Innovation (New York, NY: Frank Cass Publishers 2004). |Pomerleau, Mark, ‘Here’s What the Marines’ Information Command Centers Will Do’, C4ISR.net, 6 Dec. 2019, https://www.c4isrnet.com/information-warfare/2019/12/06/heres-what-the-marines-information-command-centers-will-do/|Pomerleau, Mark, ‘The Air Force Is All in on Software’, C4ISRnet, 12 Aug. 2019, https://www.c4isrnet.com/battlefield-tech/2019/08/12/the-air-force-is-all-in-on-software/|Posen, Barry R., ‘Foreward: Military Doctrine and the Management of Uncertainty’, Journal of Strategic Studies 39/2 (2016), 159–73. DOI:10.1080/01402390.2015.1115042 |Posen, Barry R., The Sources of Military Doctrine: France, Britain, and Germany between the World Wars (Ithaca, NY: Cornell UP 1986). (Open in a new window)Google Scholar|Raska, Michael, ‘The Sixth RMA Wave: Disruption in Military Affairs?’. Journal of Strategic Studies (2020), 1–24. DOI:10.1080/01402390.2020.1848818 |Richardson, John, ‘The Future Navy’, Office of the Chief of Naval Operations, 17 May 2017, https://admin.govexec.com/media/gbc/docs/pdfs_edit/futurenavyfinal.pdf|</v>
      </c>
    </row>
    <row r="72" customFormat="false" ht="113.4" hidden="false" customHeight="false" outlineLevel="0" collapsed="false">
      <c r="A72" s="4" t="s">
        <v>151</v>
      </c>
      <c r="B72" s="3" t="s">
        <v>152</v>
      </c>
      <c r="C72" s="0" t="str">
        <f aca="false">B72&amp;"|"</f>
        <v>Roper, Will, ‘Take the Red Pill: _the New Digital Acquisition Reality’, Department of the Air Force, 15 Sept. 2020. (Open in a new window)Google Scholar|</v>
      </c>
      <c r="D72" s="0" t="str">
        <f aca="false">D71&amp;C72</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|Cote, Owen Reid, Jr., ‘The Politics of Innovative Military Doctrine: The US Navy and Fleet Ballistic Missiles’, Doctoral dissertation, Massachusetts Institute of Technology, Feb. 1996. (Open in a new window)Google Scholar|Cronin, Audrey Kurth, Power to the People: How Open Technological Innovation Is Arming Tomorrow’s Terrorists (Oxford: Oxford UP 2020). (Open in a new window)Google Scholar|Department of the Navy, ‘Unmanned Campaign Network’, 16 Mar. 2021, https://www.navy.mil/Portals/1/Strategic/20210315%20Unmanned%20Campaign_Final_LowRes.pdf?ver=LtCZ-BPlWki6vCBTdgtDMA%3D%3D|DiNapoli, Timothy J., ‘DOD’s Use of Other Transactions for Prototype Projects Has Increased’, Government Accountability Office GAO-20–84, Nov. 2019, https://www.gao.gov/assets/710/702861.pdf|Dunn, Richard L., ‘Other Transactions Contracts: Poorly Understood, Little Used’, National Defense Magazine, 15 May 2017, https://www.nationaldefensemagazine.org/articles/2017/5/15/other-transactions-contracts-poorly-understood-little-used|Easley, Matthew P., ‘Army Artificial Intelligence Task Force (AI-TF)’, US Army Futures Command (2019). https://www.clsac.org/uploads/5/0/6/3/50633811/2019-easley-aiml.pdf|Eckhardt, Jonathan T., Michael P. Ciuchta, and Mason Carpenter, ‘Open Innovation, Information, and Entrepreneurship within Platform Ecosystems’, Strategic Entrepreneurship Journal 12 (2018), 369–91. DOI:10.1002/sej.1298 |Eckstein, Megan, ‘Marine Corps Information Community Growing in Capability, Trying to Find Its Place in Joint Operations’, USNI News, 7 Jan. 2020, https://news.usni.org/2020/01/07/marine-corps-information-community-growing-in-capability-trying-to-find-its-place-in-joint-operations|Eversden, Andrew, ‘The Army AI Task Force Takes on Two ‘Key’ Projects’, C4ISRnet, 10 Jun. 2020, https://www.c4isrnet.com/artificial-intelligence/2020/06/10/the-army-ai-task-force-takes-on-two-key-projects/|Farrell, Theo, Sten Rynning, and Terry Terriff, Transforming Military Power since the Cold War: Britain, France, and the United States, 1991–2012 (Cambridge, UK: Cambridge UP 2013). |Feickert, Andrew and Brendan W. McGarry, ‘The Army’s Modernization Strategy: Congressional Oversight Considerations’, Congressional Research Service, 7 Feb. 2020, https://www.everycrsreport.com/files/20200207_R46216_444d93a212c95fd2fba1a596d520ca263a833307.pdf|Feickert, Andrew, ‘The Army’s Future Combat System (FCS): Background and Issues for Congress’, Congressional Research Services, 5 May 2006, https://www.everycrsreport.com/files/20060505_RL32888_bd0c5e4691669243ba6aacea43a6ce91c182246e.pdf|Fiott, Daniel, ‘A Revolution Too Far? US Defence Innovation, Europe and NATO’s Military-Technological Gap’, Journal of Strategic Studies 40/3 (2017), 417–37. DOI:10.1080/01402390.2016.1176565 |Gansler, Jacques, Democracy’s Arsenal: Creating a Twenty-First Century Defense Industry (Cambridge, MA: MIT UP 2011). |Geurts, James F., ‘The Department of the Navy Fiscal Year 2020 Budget Request for Science and Technology Programs’, House Armed Services Committee, 28 Mar. 2019. https://armedservices.house.gov/_cache/files/c/4/c46d8d7f-cade-4487-bae0-f87943aa205e/5AD8EA25BA971C25EF67C083034A43F2.hhrg-116-as26-wstate-geurtsj-20190328.pdf|Gilli, Andrea and Mauro Gilli, ‘Why China Has Not Caught Up Yet: Military-Technological Superiority and the Limits of Imitation, Reverse Engineering, and Cyber Espionage’, International Security 43/3 ( Winter 2018/19), 141–89. DOI:10.1162/isec_a_00337 |Glavy, Matthew G. and Brett Goldstein, ‘The Battle for Mon Cala: Getting the Military to Deliver Its Own Tech Solutions’, War On The Rocks, 20 Aug. 2020, https://warontherocks.com/2020/08/the-battle-for-mon-cala-getting-the-military-to-deliver-its-own-tech-solutions/|Griffin, Stuart, ‘Military Innovation Studies: Multidisciplinary or Lacking Discipline?’, Journal of Strategic Studies 40/1/2 (2016), 196–224. DOI:10.1080/01402390.2016.1196358 |Grissom, Andrew, ‘The Future of Military Innovation Studies’, Journal of Strategic Studies 29/5 (Oct. 2006), 905–34. DOI:10.1080/01402390600901067. |Haduch, Thomas W., ‘Maintaining the US Army Research, Development and Engineering Command Prototype Integration Facilities’, Defense Acquisition University Press. May 2014, https://www.dau.edu/training/career-development/sscf/Documents/T.%20HaduchSSCF2014SRPOPSECFINAL.pdf|Harper, Jon, ‘Army to Release New Wish List for Optionally Manned Fighting Vehicle’, National Defense Magazine, 19 Feb. 2020, https://www.nationaldefensemagazine.org/articles/2020/2/19/army-to-release-new-wish-list-for-optionally-manned-fighting-vehicle|Horowitz, Michael C., The Diffusion of Military Power: Causes and Consequences for International Politics (Princeton, NJ: Princeton UP 2010). |Horowitz, Michael, ‘Artificial Intelligence, International Competition, and the Balance of Power’, Texas National Security Review 1/3 (May 2018), 36–57. https://tnsr.org/2018/05/artificial-intelligence-international-competition-and-the-balance-of-power/|Kaeser, Hans Ulrich, ‘The Future Combat System: What Future Can The Army Afford?’, Center for Strategic and International Studies, 5 Feb. 2009. Working draft, https://csis-website-prod.s3.amazonaws.com/s3fs-public/legacy_files/files/media/csis/pubs/090205_fcsarmy.pdf|Kenyon, Henry, ‘Rapid App Response: Marines to Embed Development Teams with Deployed Units’, GCN, 6 Feb. 2012, https://gcn.com/articles/2012/02/06/marine-corps-apps-embedded-development-teams.aspx|Kleinholz, Joshua, ‘AFwerX Vegas Opens New Doors to Innovation’, Air Combat Command, 23 Aug. 2017, https://www.acc.af.mil/News/Article-Display/Article/1288094/afwerx-vegas-opens-new-doors-to-innovation/|Kollars, Nina A., ‘War’s Horizon: Soldier-Led Adaptation in Iraq and Vietnam’, Journal of Strategic Studies 38/4 (2015), 529–53. DOI:10.1080/01402390.2014.971947 |Krazit, Tom, ‘How the US Air Force Deployed Kubernetes and Istio on an F-16 in 45 Days’, The New Stack, 24 Dec. 2019, https://thenewstack.io/how-the-u-s-air-force-deployed-kubernetes-and-istio-on-an-f-16-in-45-days/|Lake, Daniel R., The Pursuit of Technological Superiority and the Shrinking American Military (New York, NY: Palgrave MacMillan 2019). |Lavelle, Sean, ‘The Navy’s Kessel Run’, US Naval Institute, 3 Jan. 2019, https://blog.usni.org/posts/2019/01/03/the-navys-kessel-run|Leonard, Herman, et al., ‘SOFWERX: Innovation at US Special Operations Command’, Harvard Business School Case 819–004, Jul. 2018. (Open in a new window)Google Scholar|Lindsay, Jon R., Information Technology and Military Power (Ithaca, NY: Cornell UP 2020). |Lofgren, Eric, ‘The Future of Navy Software Development with Lt. Sean Lavelle,’ Acquisition Talk (1 Apr. 2020). Audio. (Open in a new window)Google Scholar|Lofgren, Eric, ‘The Last Frontier of Acquisition Reform: The Budget Process’, Conference Paper, Proceedings of the Seventeenth Annual Acquisition Research Symposium, 13-14 May 2020. Prepared for the Naval Postgraduate School, Monterey, CA. (Open in a new window)Google Scholar|Mabus, Ray, ‘Harnessing the Navy’s Culture of Innovation’, Naval Science and Technology Future Force Magazine, 7 Apr. 2015, https://futureforce.navylive.dodlive.mil/2015/04/harnessing-the-navys-culture-of-innovation/|Magnuson, Stew, ‘AUSA NEWS: Army Futures Command Breaking Down Barriers’, National Defense Magazine, 16 Oct. 2019, https://www.nationaldefensemagazine.org/articles/2019/10/16/army-futures-command-breaking-down-barriers|Mahnken, Thomas G., Technology and the American Way of War since 1945 (New York, NY: Columbia UP 2008). (Open in a new window)Google Scholar|Mansoor, Peter R. and Williamson Murray, (eds.), The Culture of Military Organizations (Cambridge: UK: Cambridge UP 2019). |Mayfield, Mandy, ‘Army Futures Command Establishes “Software Factory”’, National Defense Magazine, 21 Aug. 2020, https://www.nationaldefensemagazine.org/articles/2020/8/21/army-futures-command-establishes-software-factory|McCain, John, ‘Opening Statement by SASC Chairman John McCain at Hearing on DoD Nominations’, Office of Senator John McCain, 14 Nov. 2017, https://www.mccain.senate.gov/public/index.cfm/floor-statements?ID=05DCC73A-F9F2-44E8-A75F-236003222AF2|McQuade, J. Michael et al., ‘Software Is Never Done: Refactoring the Acquisition Code for Competitive Advantage’, Defense Innovation Board, 3 May 2019, https://media.defense.gov/2019/May/01/2002126690/-1/-1/0/SWAP%20EXECUTIVE%20SUMMARY.PDF|Miller, Jason, ‘Air Force’s game-changing approach to cloud accreditation, Federal News Network’, 30 Jul. 2020, https://federalnewsnetwork.com/ask-the-cio/2020/07/air-forces-game-changing-approach-to-cloud-accreditation/|Mori, Satoru, ‘US Defense Innovation and Artificial Intelligence’, Asia-Pacific Review 25/2 (2018), 16–44. DOI:10.1080/13439006.2018.1545488 |NavalXAgility, ‘Scaling Agility, Navy Doubles Tech Bridge Locations,’ 13 May 2020, https://www.navy.mil/submit/display.asp?story_id=112953|Neller, Robert B., ‘Strategy for Assured Command and Control: Enabling C2 for Tomorrow’s Marine Corps, Today’, US Marine Corps, Mar. 2017, https://www.hqmc.marines.mil/Portals/61/Marine_Corps_Strategy_for_Assured_Command_and_Control_March_2017.pdf?ver=2017-05-30-160731-940|Oakley, Shelby S., ‘Defense Acquisitions Annual Assessment: Drive to Deliver Capabilities Faster Increases Importance of Program Knowledge and Consistent Data for Oversight’, Government Accountability Office, Jun. 2020. https://www.gao.gov/assets/710/707359.pdf|Office of the Secretary of Defense, ‘National Defense Strategy of the United States of America: Sharpening the American Military’s Competitive Edge’, Jan. 2018. (Open in a new window)Google Scholar|Office of the Secretary of the Army, ‘Army Directive 2017–22 (Cross-functional Team Pilot in Support of Materiel Development’, 6 Oct. 2017. (Open in a new window)Google Scholar|Perez, Tony and Adam Welch, ‘AFWERX Spark’, in Brian Maue (ed..), Empowering Next Generation Innovators and Innovations (Arlington, VA: AFWERX 2020), 37–49. https://www.afwerx.af.mil/resources/AFWERX-Book.pdf|Pierce, Terry, ‘The Navy Needs a New Engine of Innovation’, Proceedings Magazine 144/11/1389 (Nov 2018). https://www.usni.org/magazines/proceedings/2018/november/navy-needs-new-engine-innovation|Pierce, Terry, Warfighting and Disruptive Technologies: Disguising Innovation (New York, NY: Frank Cass Publishers 2004). |Pomerleau, Mark, ‘Here’s What the Marines’ Information Command Centers Will Do’, C4ISR.net, 6 Dec. 2019, https://www.c4isrnet.com/information-warfare/2019/12/06/heres-what-the-marines-information-command-centers-will-do/|Pomerleau, Mark, ‘The Air Force Is All in on Software’, C4ISRnet, 12 Aug. 2019, https://www.c4isrnet.com/battlefield-tech/2019/08/12/the-air-force-is-all-in-on-software/|Posen, Barry R., ‘Foreward: Military Doctrine and the Management of Uncertainty’, Journal of Strategic Studies 39/2 (2016), 159–73. DOI:10.1080/01402390.2015.1115042 |Posen, Barry R., The Sources of Military Doctrine: France, Britain, and Germany between the World Wars (Ithaca, NY: Cornell UP 1986). (Open in a new window)Google Scholar|Raska, Michael, ‘The Sixth RMA Wave: Disruption in Military Affairs?’. Journal of Strategic Studies (2020), 1–24. DOI:10.1080/01402390.2020.1848818 |Richardson, John, ‘The Future Navy’, Office of the Chief of Naval Operations, 17 May 2017, https://admin.govexec.com/media/gbc/docs/pdfs_edit/futurenavyfinal.pdf|Roper, Will, ‘Take the Red Pill: _the New Digital Acquisition Reality’, Department of the Air Force, 15 Sept. 2020. (Open in a new window)Google Scholar|</v>
      </c>
    </row>
    <row r="73" customFormat="false" ht="124.6" hidden="false" customHeight="false" outlineLevel="0" collapsed="false">
      <c r="A73" s="4" t="s">
        <v>153</v>
      </c>
      <c r="B73" s="3" t="s">
        <v>154</v>
      </c>
      <c r="C73" s="0" t="str">
        <f aca="false">B73&amp;"|"</f>
        <v>Rosen, Stephen Peter, Winning the Next War: Innovation and the Modern Military (Ithaca, NY: Cornell UP 1991). (Open in a new window)Google Scholar|</v>
      </c>
      <c r="D73" s="0" t="str">
        <f aca="false">D72&amp;C73</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|Cote, Owen Reid, Jr., ‘The Politics of Innovative Military Doctrine: The US Navy and Fleet Ballistic Missiles’, Doctoral dissertation, Massachusetts Institute of Technology, Feb. 1996. (Open in a new window)Google Scholar|Cronin, Audrey Kurth, Power to the People: How Open Technological Innovation Is Arming Tomorrow’s Terrorists (Oxford: Oxford UP 2020). (Open in a new window)Google Scholar|Department of the Navy, ‘Unmanned Campaign Network’, 16 Mar. 2021, https://www.navy.mil/Portals/1/Strategic/20210315%20Unmanned%20Campaign_Final_LowRes.pdf?ver=LtCZ-BPlWki6vCBTdgtDMA%3D%3D|DiNapoli, Timothy J., ‘DOD’s Use of Other Transactions for Prototype Projects Has Increased’, Government Accountability Office GAO-20–84, Nov. 2019, https://www.gao.gov/assets/710/702861.pdf|Dunn, Richard L., ‘Other Transactions Contracts: Poorly Understood, Little Used’, National Defense Magazine, 15 May 2017, https://www.nationaldefensemagazine.org/articles/2017/5/15/other-transactions-contracts-poorly-understood-little-used|Easley, Matthew P., ‘Army Artificial Intelligence Task Force (AI-TF)’, US Army Futures Command (2019). https://www.clsac.org/uploads/5/0/6/3/50633811/2019-easley-aiml.pdf|Eckhardt, Jonathan T., Michael P. Ciuchta, and Mason Carpenter, ‘Open Innovation, Information, and Entrepreneurship within Platform Ecosystems’, Strategic Entrepreneurship Journal 12 (2018), 369–91. DOI:10.1002/sej.1298 |Eckstein, Megan, ‘Marine Corps Information Community Growing in Capability, Trying to Find Its Place in Joint Operations’, USNI News, 7 Jan. 2020, https://news.usni.org/2020/01/07/marine-corps-information-community-growing-in-capability-trying-to-find-its-place-in-joint-operations|Eversden, Andrew, ‘The Army AI Task Force Takes on Two ‘Key’ Projects’, C4ISRnet, 10 Jun. 2020, https://www.c4isrnet.com/artificial-intelligence/2020/06/10/the-army-ai-task-force-takes-on-two-key-projects/|Farrell, Theo, Sten Rynning, and Terry Terriff, Transforming Military Power since the Cold War: Britain, France, and the United States, 1991–2012 (Cambridge, UK: Cambridge UP 2013). |Feickert, Andrew and Brendan W. McGarry, ‘The Army’s Modernization Strategy: Congressional Oversight Considerations’, Congressional Research Service, 7 Feb. 2020, https://www.everycrsreport.com/files/20200207_R46216_444d93a212c95fd2fba1a596d520ca263a833307.pdf|Feickert, Andrew, ‘The Army’s Future Combat System (FCS): Background and Issues for Congress’, Congressional Research Services, 5 May 2006, https://www.everycrsreport.com/files/20060505_RL32888_bd0c5e4691669243ba6aacea43a6ce91c182246e.pdf|Fiott, Daniel, ‘A Revolution Too Far? US Defence Innovation, Europe and NATO’s Military-Technological Gap’, Journal of Strategic Studies 40/3 (2017), 417–37. DOI:10.1080/01402390.2016.1176565 |Gansler, Jacques, Democracy’s Arsenal: Creating a Twenty-First Century Defense Industry (Cambridge, MA: MIT UP 2011). |Geurts, James F., ‘The Department of the Navy Fiscal Year 2020 Budget Request for Science and Technology Programs’, House Armed Services Committee, 28 Mar. 2019. https://armedservices.house.gov/_cache/files/c/4/c46d8d7f-cade-4487-bae0-f87943aa205e/5AD8EA25BA971C25EF67C083034A43F2.hhrg-116-as26-wstate-geurtsj-20190328.pdf|Gilli, Andrea and Mauro Gilli, ‘Why China Has Not Caught Up Yet: Military-Technological Superiority and the Limits of Imitation, Reverse Engineering, and Cyber Espionage’, International Security 43/3 ( Winter 2018/19), 141–89. DOI:10.1162/isec_a_00337 |Glavy, Matthew G. and Brett Goldstein, ‘The Battle for Mon Cala: Getting the Military to Deliver Its Own Tech Solutions’, War On The Rocks, 20 Aug. 2020, https://warontherocks.com/2020/08/the-battle-for-mon-cala-getting-the-military-to-deliver-its-own-tech-solutions/|Griffin, Stuart, ‘Military Innovation Studies: Multidisciplinary or Lacking Discipline?’, Journal of Strategic Studies 40/1/2 (2016), 196–224. DOI:10.1080/01402390.2016.1196358 |Grissom, Andrew, ‘The Future of Military Innovation Studies’, Journal of Strategic Studies 29/5 (Oct. 2006), 905–34. DOI:10.1080/01402390600901067. |Haduch, Thomas W., ‘Maintaining the US Army Research, Development and Engineering Command Prototype Integration Facilities’, Defense Acquisition University Press. May 2014, https://www.dau.edu/training/career-development/sscf/Documents/T.%20HaduchSSCF2014SRPOPSECFINAL.pdf|Harper, Jon, ‘Army to Release New Wish List for Optionally Manned Fighting Vehicle’, National Defense Magazine, 19 Feb. 2020, https://www.nationaldefensemagazine.org/articles/2020/2/19/army-to-release-new-wish-list-for-optionally-manned-fighting-vehicle|Horowitz, Michael C., The Diffusion of Military Power: Causes and Consequences for International Politics (Princeton, NJ: Princeton UP 2010). |Horowitz, Michael, ‘Artificial Intelligence, International Competition, and the Balance of Power’, Texas National Security Review 1/3 (May 2018), 36–57. https://tnsr.org/2018/05/artificial-intelligence-international-competition-and-the-balance-of-power/|Kaeser, Hans Ulrich, ‘The Future Combat System: What Future Can The Army Afford?’, Center for Strategic and International Studies, 5 Feb. 2009. Working draft, https://csis-website-prod.s3.amazonaws.com/s3fs-public/legacy_files/files/media/csis/pubs/090205_fcsarmy.pdf|Kenyon, Henry, ‘Rapid App Response: Marines to Embed Development Teams with Deployed Units’, GCN, 6 Feb. 2012, https://gcn.com/articles/2012/02/06/marine-corps-apps-embedded-development-teams.aspx|Kleinholz, Joshua, ‘AFwerX Vegas Opens New Doors to Innovation’, Air Combat Command, 23 Aug. 2017, https://www.acc.af.mil/News/Article-Display/Article/1288094/afwerx-vegas-opens-new-doors-to-innovation/|Kollars, Nina A., ‘War’s Horizon: Soldier-Led Adaptation in Iraq and Vietnam’, Journal of Strategic Studies 38/4 (2015), 529–53. DOI:10.1080/01402390.2014.971947 |Krazit, Tom, ‘How the US Air Force Deployed Kubernetes and Istio on an F-16 in 45 Days’, The New Stack, 24 Dec. 2019, https://thenewstack.io/how-the-u-s-air-force-deployed-kubernetes-and-istio-on-an-f-16-in-45-days/|Lake, Daniel R., The Pursuit of Technological Superiority and the Shrinking American Military (New York, NY: Palgrave MacMillan 2019). |Lavelle, Sean, ‘The Navy’s Kessel Run’, US Naval Institute, 3 Jan. 2019, https://blog.usni.org/posts/2019/01/03/the-navys-kessel-run|Leonard, Herman, et al., ‘SOFWERX: Innovation at US Special Operations Command’, Harvard Business School Case 819–004, Jul. 2018. (Open in a new window)Google Scholar|Lindsay, Jon R., Information Technology and Military Power (Ithaca, NY: Cornell UP 2020). |Lofgren, Eric, ‘The Future of Navy Software Development with Lt. Sean Lavelle,’ Acquisition Talk (1 Apr. 2020). Audio. (Open in a new window)Google Scholar|Lofgren, Eric, ‘The Last Frontier of Acquisition Reform: The Budget Process’, Conference Paper, Proceedings of the Seventeenth Annual Acquisition Research Symposium, 13-14 May 2020. Prepared for the Naval Postgraduate School, Monterey, CA. (Open in a new window)Google Scholar|Mabus, Ray, ‘Harnessing the Navy’s Culture of Innovation’, Naval Science and Technology Future Force Magazine, 7 Apr. 2015, https://futureforce.navylive.dodlive.mil/2015/04/harnessing-the-navys-culture-of-innovation/|Magnuson, Stew, ‘AUSA NEWS: Army Futures Command Breaking Down Barriers’, National Defense Magazine, 16 Oct. 2019, https://www.nationaldefensemagazine.org/articles/2019/10/16/army-futures-command-breaking-down-barriers|Mahnken, Thomas G., Technology and the American Way of War since 1945 (New York, NY: Columbia UP 2008). (Open in a new window)Google Scholar|Mansoor, Peter R. and Williamson Murray, (eds.), The Culture of Military Organizations (Cambridge: UK: Cambridge UP 2019). |Mayfield, Mandy, ‘Army Futures Command Establishes “Software Factory”’, National Defense Magazine, 21 Aug. 2020, https://www.nationaldefensemagazine.org/articles/2020/8/21/army-futures-command-establishes-software-factory|McCain, John, ‘Opening Statement by SASC Chairman John McCain at Hearing on DoD Nominations’, Office of Senator John McCain, 14 Nov. 2017, https://www.mccain.senate.gov/public/index.cfm/floor-statements?ID=05DCC73A-F9F2-44E8-A75F-236003222AF2|McQuade, J. Michael et al., ‘Software Is Never Done: Refactoring the Acquisition Code for Competitive Advantage’, Defense Innovation Board, 3 May 2019, https://media.defense.gov/2019/May/01/2002126690/-1/-1/0/SWAP%20EXECUTIVE%20SUMMARY.PDF|Miller, Jason, ‘Air Force’s game-changing approach to cloud accreditation, Federal News Network’, 30 Jul. 2020, https://federalnewsnetwork.com/ask-the-cio/2020/07/air-forces-game-changing-approach-to-cloud-accreditation/|Mori, Satoru, ‘US Defense Innovation and Artificial Intelligence’, Asia-Pacific Review 25/2 (2018), 16–44. DOI:10.1080/13439006.2018.1545488 |NavalXAgility, ‘Scaling Agility, Navy Doubles Tech Bridge Locations,’ 13 May 2020, https://www.navy.mil/submit/display.asp?story_id=112953|Neller, Robert B., ‘Strategy for Assured Command and Control: Enabling C2 for Tomorrow’s Marine Corps, Today’, US Marine Corps, Mar. 2017, https://www.hqmc.marines.mil/Portals/61/Marine_Corps_Strategy_for_Assured_Command_and_Control_March_2017.pdf?ver=2017-05-30-160731-940|Oakley, Shelby S., ‘Defense Acquisitions Annual Assessment: Drive to Deliver Capabilities Faster Increases Importance of Program Knowledge and Consistent Data for Oversight’, Government Accountability Office, Jun. 2020. https://www.gao.gov/assets/710/707359.pdf|Office of the Secretary of Defense, ‘National Defense Strategy of the United States of America: Sharpening the American Military’s Competitive Edge’, Jan. 2018. (Open in a new window)Google Scholar|Office of the Secretary of the Army, ‘Army Directive 2017–22 (Cross-functional Team Pilot in Support of Materiel Development’, 6 Oct. 2017. (Open in a new window)Google Scholar|Perez, Tony and Adam Welch, ‘AFWERX Spark’, in Brian Maue (ed..), Empowering Next Generation Innovators and Innovations (Arlington, VA: AFWERX 2020), 37–49. https://www.afwerx.af.mil/resources/AFWERX-Book.pdf|Pierce, Terry, ‘The Navy Needs a New Engine of Innovation’, Proceedings Magazine 144/11/1389 (Nov 2018). https://www.usni.org/magazines/proceedings/2018/november/navy-needs-new-engine-innovation|Pierce, Terry, Warfighting and Disruptive Technologies: Disguising Innovation (New York, NY: Frank Cass Publishers 2004). |Pomerleau, Mark, ‘Here’s What the Marines’ Information Command Centers Will Do’, C4ISR.net, 6 Dec. 2019, https://www.c4isrnet.com/information-warfare/2019/12/06/heres-what-the-marines-information-command-centers-will-do/|Pomerleau, Mark, ‘The Air Force Is All in on Software’, C4ISRnet, 12 Aug. 2019, https://www.c4isrnet.com/battlefield-tech/2019/08/12/the-air-force-is-all-in-on-software/|Posen, Barry R., ‘Foreward: Military Doctrine and the Management of Uncertainty’, Journal of Strategic Studies 39/2 (2016), 159–73. DOI:10.1080/01402390.2015.1115042 |Posen, Barry R., The Sources of Military Doctrine: France, Britain, and Germany between the World Wars (Ithaca, NY: Cornell UP 1986). (Open in a new window)Google Scholar|Raska, Michael, ‘The Sixth RMA Wave: Disruption in Military Affairs?’. Journal of Strategic Studies (2020), 1–24. DOI:10.1080/01402390.2020.1848818 |Richardson, John, ‘The Future Navy’, Office of the Chief of Naval Operations, 17 May 2017, https://admin.govexec.com/media/gbc/docs/pdfs_edit/futurenavyfinal.pdf|Roper, Will, ‘Take the Red Pill: _the New Digital Acquisition Reality’, Department of the Air Force, 15 Sept. 2020. (Open in a new window)Google Scholar|Rosen, Stephen Peter, Winning the Next War: Innovation and the Modern Military (Ithaca, NY: Cornell UP 1991). (Open in a new window)Google Scholar|</v>
      </c>
    </row>
    <row r="74" customFormat="false" ht="147" hidden="false" customHeight="false" outlineLevel="0" collapsed="false">
      <c r="A74" s="4" t="s">
        <v>155</v>
      </c>
      <c r="B74" s="3" t="s">
        <v>156</v>
      </c>
      <c r="C74" s="0" t="str">
        <f aca="false">B74&amp;"|"</f>
        <v>Rosenberg, Barry, ‘Fail Fast, Not Twice: DoD’s Push for Agile Software Development’, Breaking Defense, 20 Jun. 2019, https://breakingdefense.com/2019/06/fail-fast-not-twice-dods-push-for-agile-software-development/|</v>
      </c>
      <c r="D74" s="0" t="str">
        <f aca="false">D73&amp;C74</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|Cote, Owen Reid, Jr., ‘The Politics of Innovative Military Doctrine: The US Navy and Fleet Ballistic Missiles’, Doctoral dissertation, Massachusetts Institute of Technology, Feb. 1996. (Open in a new window)Google Scholar|Cronin, Audrey Kurth, Power to the People: How Open Technological Innovation Is Arming Tomorrow’s Terrorists (Oxford: Oxford UP 2020). (Open in a new window)Google Scholar|Department of the Navy, ‘Unmanned Campaign Network’, 16 Mar. 2021, https://www.navy.mil/Portals/1/Strategic/20210315%20Unmanned%20Campaign_Final_LowRes.pdf?ver=LtCZ-BPlWki6vCBTdgtDMA%3D%3D|DiNapoli, Timothy J., ‘DOD’s Use of Other Transactions for Prototype Projects Has Increased’, Government Accountability Office GAO-20–84, Nov. 2019, https://www.gao.gov/assets/710/702861.pdf|Dunn, Richard L., ‘Other Transactions Contracts: Poorly Understood, Little Used’, National Defense Magazine, 15 May 2017, https://www.nationaldefensemagazine.org/articles/2017/5/15/other-transactions-contracts-poorly-understood-little-used|Easley, Matthew P., ‘Army Artificial Intelligence Task Force (AI-TF)’, US Army Futures Command (2019). https://www.clsac.org/uploads/5/0/6/3/50633811/2019-easley-aiml.pdf|Eckhardt, Jonathan T., Michael P. Ciuchta, and Mason Carpenter, ‘Open Innovation, Information, and Entrepreneurship within Platform Ecosystems’, Strategic Entrepreneurship Journal 12 (2018), 369–91. DOI:10.1002/sej.1298 |Eckstein, Megan, ‘Marine Corps Information Community Growing in Capability, Trying to Find Its Place in Joint Operations’, USNI News, 7 Jan. 2020, https://news.usni.org/2020/01/07/marine-corps-information-community-growing-in-capability-trying-to-find-its-place-in-joint-operations|Eversden, Andrew, ‘The Army AI Task Force Takes on Two ‘Key’ Projects’, C4ISRnet, 10 Jun. 2020, https://www.c4isrnet.com/artificial-intelligence/2020/06/10/the-army-ai-task-force-takes-on-two-key-projects/|Farrell, Theo, Sten Rynning, and Terry Terriff, Transforming Military Power since the Cold War: Britain, France, and the United States, 1991–2012 (Cambridge, UK: Cambridge UP 2013). |Feickert, Andrew and Brendan W. McGarry, ‘The Army’s Modernization Strategy: Congressional Oversight Considerations’, Congressional Research Service, 7 Feb. 2020, https://www.everycrsreport.com/files/20200207_R46216_444d93a212c95fd2fba1a596d520ca263a833307.pdf|Feickert, Andrew, ‘The Army’s Future Combat System (FCS): Background and Issues for Congress’, Congressional Research Services, 5 May 2006, https://www.everycrsreport.com/files/20060505_RL32888_bd0c5e4691669243ba6aacea43a6ce91c182246e.pdf|Fiott, Daniel, ‘A Revolution Too Far? US Defence Innovation, Europe and NATO’s Military-Technological Gap’, Journal of Strategic Studies 40/3 (2017), 417–37. DOI:10.1080/01402390.2016.1176565 |Gansler, Jacques, Democracy’s Arsenal: Creating a Twenty-First Century Defense Industry (Cambridge, MA: MIT UP 2011). |Geurts, James F., ‘The Department of the Navy Fiscal Year 2020 Budget Request for Science and Technology Programs’, House Armed Services Committee, 28 Mar. 2019. https://armedservices.house.gov/_cache/files/c/4/c46d8d7f-cade-4487-bae0-f87943aa205e/5AD8EA25BA971C25EF67C083034A43F2.hhrg-116-as26-wstate-geurtsj-20190328.pdf|Gilli, Andrea and Mauro Gilli, ‘Why China Has Not Caught Up Yet: Military-Technological Superiority and the Limits of Imitation, Reverse Engineering, and Cyber Espionage’, International Security 43/3 ( Winter 2018/19), 141–89. DOI:10.1162/isec_a_00337 |Glavy, Matthew G. and Brett Goldstein, ‘The Battle for Mon Cala: Getting the Military to Deliver Its Own Tech Solutions’, War On The Rocks, 20 Aug. 2020, https://warontherocks.com/2020/08/the-battle-for-mon-cala-getting-the-military-to-deliver-its-own-tech-solutions/|Griffin, Stuart, ‘Military Innovation Studies: Multidisciplinary or Lacking Discipline?’, Journal of Strategic Studies 40/1/2 (2016), 196–224. DOI:10.1080/01402390.2016.1196358 |Grissom, Andrew, ‘The Future of Military Innovation Studies’, Journal of Strategic Studies 29/5 (Oct. 2006), 905–34. DOI:10.1080/01402390600901067. |Haduch, Thomas W., ‘Maintaining the US Army Research, Development and Engineering Command Prototype Integration Facilities’, Defense Acquisition University Press. May 2014, https://www.dau.edu/training/career-development/sscf/Documents/T.%20HaduchSSCF2014SRPOPSECFINAL.pdf|Harper, Jon, ‘Army to Release New Wish List for Optionally Manned Fighting Vehicle’, National Defense Magazine, 19 Feb. 2020, https://www.nationaldefensemagazine.org/articles/2020/2/19/army-to-release-new-wish-list-for-optionally-manned-fighting-vehicle|Horowitz, Michael C., The Diffusion of Military Power: Causes and Consequences for International Politics (Princeton, NJ: Princeton UP 2010). |Horowitz, Michael, ‘Artificial Intelligence, International Competition, and the Balance of Power’, Texas National Security Review 1/3 (May 2018), 36–57. https://tnsr.org/2018/05/artificial-intelligence-international-competition-and-the-balance-of-power/|Kaeser, Hans Ulrich, ‘The Future Combat System: What Future Can The Army Afford?’, Center for Strategic and International Studies, 5 Feb. 2009. Working draft, https://csis-website-prod.s3.amazonaws.com/s3fs-public/legacy_files/files/media/csis/pubs/090205_fcsarmy.pdf|Kenyon, Henry, ‘Rapid App Response: Marines to Embed Development Teams with Deployed Units’, GCN, 6 Feb. 2012, https://gcn.com/articles/2012/02/06/marine-corps-apps-embedded-development-teams.aspx|Kleinholz, Joshua, ‘AFwerX Vegas Opens New Doors to Innovation’, Air Combat Command, 23 Aug. 2017, https://www.acc.af.mil/News/Article-Display/Article/1288094/afwerx-vegas-opens-new-doors-to-innovation/|Kollars, Nina A., ‘War’s Horizon: Soldier-Led Adaptation in Iraq and Vietnam’, Journal of Strategic Studies 38/4 (2015), 529–53. DOI:10.1080/01402390.2014.971947 |Krazit, Tom, ‘How the US Air Force Deployed Kubernetes and Istio on an F-16 in 45 Days’, The New Stack, 24 Dec. 2019, https://thenewstack.io/how-the-u-s-air-force-deployed-kubernetes-and-istio-on-an-f-16-in-45-days/|Lake, Daniel R., The Pursuit of Technological Superiority and the Shrinking American Military (New York, NY: Palgrave MacMillan 2019). |Lavelle, Sean, ‘The Navy’s Kessel Run’, US Naval Institute, 3 Jan. 2019, https://blog.usni.org/posts/2019/01/03/the-navys-kessel-run|Leonard, Herman, et al., ‘SOFWERX: Innovation at US Special Operations Command’, Harvard Business School Case 819–004, Jul. 2018. (Open in a new window)Google Scholar|Lindsay, Jon R., Information Technology and Military Power (Ithaca, NY: Cornell UP 2020). |Lofgren, Eric, ‘The Future of Navy Software Development with Lt. Sean Lavelle,’ Acquisition Talk (1 Apr. 2020). Audio. (Open in a new window)Google Scholar|Lofgren, Eric, ‘The Last Frontier of Acquisition Reform: The Budget Process’, Conference Paper, Proceedings of the Seventeenth Annual Acquisition Research Symposium, 13-14 May 2020. Prepared for the Naval Postgraduate School, Monterey, CA. (Open in a new window)Google Scholar|Mabus, Ray, ‘Harnessing the Navy’s Culture of Innovation’, Naval Science and Technology Future Force Magazine, 7 Apr. 2015, https://futureforce.navylive.dodlive.mil/2015/04/harnessing-the-navys-culture-of-innovation/|Magnuson, Stew, ‘AUSA NEWS: Army Futures Command Breaking Down Barriers’, National Defense Magazine, 16 Oct. 2019, https://www.nationaldefensemagazine.org/articles/2019/10/16/army-futures-command-breaking-down-barriers|Mahnken, Thomas G., Technology and the American Way of War since 1945 (New York, NY: Columbia UP 2008). (Open in a new window)Google Scholar|Mansoor, Peter R. and Williamson Murray, (eds.), The Culture of Military Organizations (Cambridge: UK: Cambridge UP 2019). |Mayfield, Mandy, ‘Army Futures Command Establishes “Software Factory”’, National Defense Magazine, 21 Aug. 2020, https://www.nationaldefensemagazine.org/articles/2020/8/21/army-futures-command-establishes-software-factory|McCain, John, ‘Opening Statement by SASC Chairman John McCain at Hearing on DoD Nominations’, Office of Senator John McCain, 14 Nov. 2017, https://www.mccain.senate.gov/public/index.cfm/floor-statements?ID=05DCC73A-F9F2-44E8-A75F-236003222AF2|McQuade, J. Michael et al., ‘Software Is Never Done: Refactoring the Acquisition Code for Competitive Advantage’, Defense Innovation Board, 3 May 2019, https://media.defense.gov/2019/May/01/2002126690/-1/-1/0/SWAP%20EXECUTIVE%20SUMMARY.PDF|Miller, Jason, ‘Air Force’s game-changing approach to cloud accreditation, Federal News Network’, 30 Jul. 2020, https://federalnewsnetwork.com/ask-the-cio/2020/07/air-forces-game-changing-approach-to-cloud-accreditation/|Mori, Satoru, ‘US Defense Innovation and Artificial Intelligence’, Asia-Pacific Review 25/2 (2018), 16–44. DOI:10.1080/13439006.2018.1545488 |NavalXAgility, ‘Scaling Agility, Navy Doubles Tech Bridge Locations,’ 13 May 2020, https://www.navy.mil/submit/display.asp?story_id=112953|Neller, Robert B., ‘Strategy for Assured Command and Control: Enabling C2 for Tomorrow’s Marine Corps, Today’, US Marine Corps, Mar. 2017, https://www.hqmc.marines.mil/Portals/61/Marine_Corps_Strategy_for_Assured_Command_and_Control_March_2017.pdf?ver=2017-05-30-160731-940|Oakley, Shelby S., ‘Defense Acquisitions Annual Assessment: Drive to Deliver Capabilities Faster Increases Importance of Program Knowledge and Consistent Data for Oversight’, Government Accountability Office, Jun. 2020. https://www.gao.gov/assets/710/707359.pdf|Office of the Secretary of Defense, ‘National Defense Strategy of the United States of America: Sharpening the American Military’s Competitive Edge’, Jan. 2018. (Open in a new window)Google Scholar|Office of the Secretary of the Army, ‘Army Directive 2017–22 (Cross-functional Team Pilot in Support of Materiel Development’, 6 Oct. 2017. (Open in a new window)Google Scholar|Perez, Tony and Adam Welch, ‘AFWERX Spark’, in Brian Maue (ed..), Empowering Next Generation Innovators and Innovations (Arlington, VA: AFWERX 2020), 37–49. https://www.afwerx.af.mil/resources/AFWERX-Book.pdf|Pierce, Terry, ‘The Navy Needs a New Engine of Innovation’, Proceedings Magazine 144/11/1389 (Nov 2018). https://www.usni.org/magazines/proceedings/2018/november/navy-needs-new-engine-innovation|Pierce, Terry, Warfighting and Disruptive Technologies: Disguising Innovation (New York, NY: Frank Cass Publishers 2004). |Pomerleau, Mark, ‘Here’s What the Marines’ Information Command Centers Will Do’, C4ISR.net, 6 Dec. 2019, https://www.c4isrnet.com/information-warfare/2019/12/06/heres-what-the-marines-information-command-centers-will-do/|Pomerleau, Mark, ‘The Air Force Is All in on Software’, C4ISRnet, 12 Aug. 2019, https://www.c4isrnet.com/battlefield-tech/2019/08/12/the-air-force-is-all-in-on-software/|Posen, Barry R., ‘Foreward: Military Doctrine and the Management of Uncertainty’, Journal of Strategic Studies 39/2 (2016), 159–73. DOI:10.1080/01402390.2015.1115042 |Posen, Barry R., The Sources of Military Doctrine: France, Britain, and Germany between the World Wars (Ithaca, NY: Cornell UP 1986). (Open in a new window)Google Scholar|Raska, Michael, ‘The Sixth RMA Wave: Disruption in Military Affairs?’. Journal of Strategic Studies (2020), 1–24. DOI:10.1080/01402390.2020.1848818 |Richardson, John, ‘The Future Navy’, Office of the Chief of Naval Operations, 17 May 2017, https://admin.govexec.com/media/gbc/docs/pdfs_edit/futurenavyfinal.pdf|Roper, Will, ‘Take the Red Pill: _the New Digital Acquisition Reality’, Department of the Air Force, 15 Sept. 2020. (Open in a new window)Google Scholar|Rosen, Stephen Peter, Winning the Next War: Innovation and the Modern Military (Ithaca, NY: Cornell UP 1991). (Open in a new window)Google Scholar|Rosenberg, Barry, ‘Fail Fast, Not Twice: DoD’s Push for Agile Software Development’, Breaking Defense, 20 Jun. 2019, https://breakingdefense.com/2019/06/fail-fast-not-twice-dods-push-for-agile-software-development/|</v>
      </c>
    </row>
    <row r="75" customFormat="false" ht="135.8" hidden="false" customHeight="false" outlineLevel="0" collapsed="false">
      <c r="A75" s="4" t="s">
        <v>157</v>
      </c>
      <c r="B75" s="3" t="s">
        <v>157</v>
      </c>
      <c r="C75" s="0" t="str">
        <f aca="false">B75&amp;"|"</f>
        <v>Sapolsky, Harvey M., Polaris System Development: Bureaucratic and Programmatic Success in Government (Cambridge, MA: Harvard UP 1972). |</v>
      </c>
      <c r="D75" s="0" t="str">
        <f aca="false">D74&amp;C75</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|Cote, Owen Reid, Jr., ‘The Politics of Innovative Military Doctrine: The US Navy and Fleet Ballistic Missiles’, Doctoral dissertation, Massachusetts Institute of Technology, Feb. 1996. (Open in a new window)Google Scholar|Cronin, Audrey Kurth, Power to the People: How Open Technological Innovation Is Arming Tomorrow’s Terrorists (Oxford: Oxford UP 2020). (Open in a new window)Google Scholar|Department of the Navy, ‘Unmanned Campaign Network’, 16 Mar. 2021, https://www.navy.mil/Portals/1/Strategic/20210315%20Unmanned%20Campaign_Final_LowRes.pdf?ver=LtCZ-BPlWki6vCBTdgtDMA%3D%3D|DiNapoli, Timothy J., ‘DOD’s Use of Other Transactions for Prototype Projects Has Increased’, Government Accountability Office GAO-20–84, Nov. 2019, https://www.gao.gov/assets/710/702861.pdf|Dunn, Richard L., ‘Other Transactions Contracts: Poorly Understood, Little Used’, National Defense Magazine, 15 May 2017, https://www.nationaldefensemagazine.org/articles/2017/5/15/other-transactions-contracts-poorly-understood-little-used|Easley, Matthew P., ‘Army Artificial Intelligence Task Force (AI-TF)’, US Army Futures Command (2019). https://www.clsac.org/uploads/5/0/6/3/50633811/2019-easley-aiml.pdf|Eckhardt, Jonathan T., Michael P. Ciuchta, and Mason Carpenter, ‘Open Innovation, Information, and Entrepreneurship within Platform Ecosystems’, Strategic Entrepreneurship Journal 12 (2018), 369–91. DOI:10.1002/sej.1298 |Eckstein, Megan, ‘Marine Corps Information Community Growing in Capability, Trying to Find Its Place in Joint Operations’, USNI News, 7 Jan. 2020, https://news.usni.org/2020/01/07/marine-corps-information-community-growing-in-capability-trying-to-find-its-place-in-joint-operations|Eversden, Andrew, ‘The Army AI Task Force Takes on Two ‘Key’ Projects’, C4ISRnet, 10 Jun. 2020, https://www.c4isrnet.com/artificial-intelligence/2020/06/10/the-army-ai-task-force-takes-on-two-key-projects/|Farrell, Theo, Sten Rynning, and Terry Terriff, Transforming Military Power since the Cold War: Britain, France, and the United States, 1991–2012 (Cambridge, UK: Cambridge UP 2013). |Feickert, Andrew and Brendan W. McGarry, ‘The Army’s Modernization Strategy: Congressional Oversight Considerations’, Congressional Research Service, 7 Feb. 2020, https://www.everycrsreport.com/files/20200207_R46216_444d93a212c95fd2fba1a596d520ca263a833307.pdf|Feickert, Andrew, ‘The Army’s Future Combat System (FCS): Background and Issues for Congress’, Congressional Research Services, 5 May 2006, https://www.everycrsreport.com/files/20060505_RL32888_bd0c5e4691669243ba6aacea43a6ce91c182246e.pdf|Fiott, Daniel, ‘A Revolution Too Far? US Defence Innovation, Europe and NATO’s Military-Technological Gap’, Journal of Strategic Studies 40/3 (2017), 417–37. DOI:10.1080/01402390.2016.1176565 |Gansler, Jacques, Democracy’s Arsenal: Creating a Twenty-First Century Defense Industry (Cambridge, MA: MIT UP 2011). |Geurts, James F., ‘The Department of the Navy Fiscal Year 2020 Budget Request for Science and Technology Programs’, House Armed Services Committee, 28 Mar. 2019. https://armedservices.house.gov/_cache/files/c/4/c46d8d7f-cade-4487-bae0-f87943aa205e/5AD8EA25BA971C25EF67C083034A43F2.hhrg-116-as26-wstate-geurtsj-20190328.pdf|Gilli, Andrea and Mauro Gilli, ‘Why China Has Not Caught Up Yet: Military-Technological Superiority and the Limits of Imitation, Reverse Engineering, and Cyber Espionage’, International Security 43/3 ( Winter 2018/19), 141–89. DOI:10.1162/isec_a_00337 |Glavy, Matthew G. and Brett Goldstein, ‘The Battle for Mon Cala: Getting the Military to Deliver Its Own Tech Solutions’, War On The Rocks, 20 Aug. 2020, https://warontherocks.com/2020/08/the-battle-for-mon-cala-getting-the-military-to-deliver-its-own-tech-solutions/|Griffin, Stuart, ‘Military Innovation Studies: Multidisciplinary or Lacking Discipline?’, Journal of Strategic Studies 40/1/2 (2016), 196–224. DOI:10.1080/01402390.2016.1196358 |Grissom, Andrew, ‘The Future of Military Innovation Studies’, Journal of Strategic Studies 29/5 (Oct. 2006), 905–34. DOI:10.1080/01402390600901067. |Haduch, Thomas W., ‘Maintaining the US Army Research, Development and Engineering Command Prototype Integration Facilities’, Defense Acquisition University Press. May 2014, https://www.dau.edu/training/career-development/sscf/Documents/T.%20HaduchSSCF2014SRPOPSECFINAL.pdf|Harper, Jon, ‘Army to Release New Wish List for Optionally Manned Fighting Vehicle’, National Defense Magazine, 19 Feb. 2020, https://www.nationaldefensemagazine.org/articles/2020/2/19/army-to-release-new-wish-list-for-optionally-manned-fighting-vehicle|Horowitz, Michael C., The Diffusion of Military Power: Causes and Consequences for International Politics (Princeton, NJ: Princeton UP 2010). |Horowitz, Michael, ‘Artificial Intelligence, International Competition, and the Balance of Power’, Texas National Security Review 1/3 (May 2018), 36–57. https://tnsr.org/2018/05/artificial-intelligence-international-competition-and-the-balance-of-power/|Kaeser, Hans Ulrich, ‘The Future Combat System: What Future Can The Army Afford?’, Center for Strategic and International Studies, 5 Feb. 2009. Working draft, https://csis-website-prod.s3.amazonaws.com/s3fs-public/legacy_files/files/media/csis/pubs/090205_fcsarmy.pdf|Kenyon, Henry, ‘Rapid App Response: Marines to Embed Development Teams with Deployed Units’, GCN, 6 Feb. 2012, https://gcn.com/articles/2012/02/06/marine-corps-apps-embedded-development-teams.aspx|Kleinholz, Joshua, ‘AFwerX Vegas Opens New Doors to Innovation’, Air Combat Command, 23 Aug. 2017, https://www.acc.af.mil/News/Article-Display/Article/1288094/afwerx-vegas-opens-new-doors-to-innovation/|Kollars, Nina A., ‘War’s Horizon: Soldier-Led Adaptation in Iraq and Vietnam’, Journal of Strategic Studies 38/4 (2015), 529–53. DOI:10.1080/01402390.2014.971947 |Krazit, Tom, ‘How the US Air Force Deployed Kubernetes and Istio on an F-16 in 45 Days’, The New Stack, 24 Dec. 2019, https://thenewstack.io/how-the-u-s-air-force-deployed-kubernetes-and-istio-on-an-f-16-in-45-days/|Lake, Daniel R., The Pursuit of Technological Superiority and the Shrinking American Military (New York, NY: Palgrave MacMillan 2019). |Lavelle, Sean, ‘The Navy’s Kessel Run’, US Naval Institute, 3 Jan. 2019, https://blog.usni.org/posts/2019/01/03/the-navys-kessel-run|Leonard, Herman, et al., ‘SOFWERX: Innovation at US Special Operations Command’, Harvard Business School Case 819–004, Jul. 2018. (Open in a new window)Google Scholar|Lindsay, Jon R., Information Technology and Military Power (Ithaca, NY: Cornell UP 2020). |Lofgren, Eric, ‘The Future of Navy Software Development with Lt. Sean Lavelle,’ Acquisition Talk (1 Apr. 2020). Audio. (Open in a new window)Google Scholar|Lofgren, Eric, ‘The Last Frontier of Acquisition Reform: The Budget Process’, Conference Paper, Proceedings of the Seventeenth Annual Acquisition Research Symposium, 13-14 May 2020. Prepared for the Naval Postgraduate School, Monterey, CA. (Open in a new window)Google Scholar|Mabus, Ray, ‘Harnessing the Navy’s Culture of Innovation’, Naval Science and Technology Future Force Magazine, 7 Apr. 2015, https://futureforce.navylive.dodlive.mil/2015/04/harnessing-the-navys-culture-of-innovation/|Magnuson, Stew, ‘AUSA NEWS: Army Futures Command Breaking Down Barriers’, National Defense Magazine, 16 Oct. 2019, https://www.nationaldefensemagazine.org/articles/2019/10/16/army-futures-command-breaking-down-barriers|Mahnken, Thomas G., Technology and the American Way of War since 1945 (New York, NY: Columbia UP 2008). (Open in a new window)Google Scholar|Mansoor, Peter R. and Williamson Murray, (eds.), The Culture of Military Organizations (Cambridge: UK: Cambridge UP 2019). |Mayfield, Mandy, ‘Army Futures Command Establishes “Software Factory”’, National Defense Magazine, 21 Aug. 2020, https://www.nationaldefensemagazine.org/articles/2020/8/21/army-futures-command-establishes-software-factory|McCain, John, ‘Opening Statement by SASC Chairman John McCain at Hearing on DoD Nominations’, Office of Senator John McCain, 14 Nov. 2017, https://www.mccain.senate.gov/public/index.cfm/floor-statements?ID=05DCC73A-F9F2-44E8-A75F-236003222AF2|McQuade, J. Michael et al., ‘Software Is Never Done: Refactoring the Acquisition Code for Competitive Advantage’, Defense Innovation Board, 3 May 2019, https://media.defense.gov/2019/May/01/2002126690/-1/-1/0/SWAP%20EXECUTIVE%20SUMMARY.PDF|Miller, Jason, ‘Air Force’s game-changing approach to cloud accreditation, Federal News Network’, 30 Jul. 2020, https://federalnewsnetwork.com/ask-the-cio/2020/07/air-forces-game-changing-approach-to-cloud-accreditation/|Mori, Satoru, ‘US Defense Innovation and Artificial Intelligence’, Asia-Pacific Review 25/2 (2018), 16–44. DOI:10.1080/13439006.2018.1545488 |NavalXAgility, ‘Scaling Agility, Navy Doubles Tech Bridge Locations,’ 13 May 2020, https://www.navy.mil/submit/display.asp?story_id=112953|Neller, Robert B., ‘Strategy for Assured Command and Control: Enabling C2 for Tomorrow’s Marine Corps, Today’, US Marine Corps, Mar. 2017, https://www.hqmc.marines.mil/Portals/61/Marine_Corps_Strategy_for_Assured_Command_and_Control_March_2017.pdf?ver=2017-05-30-160731-940|Oakley, Shelby S., ‘Defense Acquisitions Annual Assessment: Drive to Deliver Capabilities Faster Increases Importance of Program Knowledge and Consistent Data for Oversight’, Government Accountability Office, Jun. 2020. https://www.gao.gov/assets/710/707359.pdf|Office of the Secretary of Defense, ‘National Defense Strategy of the United States of America: Sharpening the American Military’s Competitive Edge’, Jan. 2018. (Open in a new window)Google Scholar|Office of the Secretary of the Army, ‘Army Directive 2017–22 (Cross-functional Team Pilot in Support of Materiel Development’, 6 Oct. 2017. (Open in a new window)Google Scholar|Perez, Tony and Adam Welch, ‘AFWERX Spark’, in Brian Maue (ed..), Empowering Next Generation Innovators and Innovations (Arlington, VA: AFWERX 2020), 37–49. https://www.afwerx.af.mil/resources/AFWERX-Book.pdf|Pierce, Terry, ‘The Navy Needs a New Engine of Innovation’, Proceedings Magazine 144/11/1389 (Nov 2018). https://www.usni.org/magazines/proceedings/2018/november/navy-needs-new-engine-innovation|Pierce, Terry, Warfighting and Disruptive Technologies: Disguising Innovation (New York, NY: Frank Cass Publishers 2004). |Pomerleau, Mark, ‘Here’s What the Marines’ Information Command Centers Will Do’, C4ISR.net, 6 Dec. 2019, https://www.c4isrnet.com/information-warfare/2019/12/06/heres-what-the-marines-information-command-centers-will-do/|Pomerleau, Mark, ‘The Air Force Is All in on Software’, C4ISRnet, 12 Aug. 2019, https://www.c4isrnet.com/battlefield-tech/2019/08/12/the-air-force-is-all-in-on-software/|Posen, Barry R., ‘Foreward: Military Doctrine and the Management of Uncertainty’, Journal of Strategic Studies 39/2 (2016), 159–73. DOI:10.1080/01402390.2015.1115042 |Posen, Barry R., The Sources of Military Doctrine: France, Britain, and Germany between the World Wars (Ithaca, NY: Cornell UP 1986). (Open in a new window)Google Scholar|Raska, Michael, ‘The Sixth RMA Wave: Disruption in Military Affairs?’. Journal of Strategic Studies (2020), 1–24. DOI:10.1080/01402390.2020.1848818 |Richardson, John, ‘The Future Navy’, Office of the Chief of Naval Operations, 17 May 2017, https://admin.govexec.com/media/gbc/docs/pdfs_edit/futurenavyfinal.pdf|Roper, Will, ‘Take the Red Pill: _the New Digital Acquisition Reality’, Department of the Air Force, 15 Sept. 2020. (Open in a new window)Google Scholar|Rosen, Stephen Peter, Winning the Next War: Innovation and the Modern Military (Ithaca, NY: Cornell UP 1991). (Open in a new window)Google Scholar|Rosenberg, Barry, ‘Fail Fast, Not Twice: DoD’s Push for Agile Software Development’, Breaking Defense, 20 Jun. 2019, https://breakingdefense.com/2019/06/fail-fast-not-twice-dods-push-for-agile-software-development/|Sapolsky, Harvey M., Polaris System Development: Bureaucratic and Programmatic Success in Government (Cambridge, MA: Harvard UP 1972). |</v>
      </c>
    </row>
    <row r="76" customFormat="false" ht="135.8" hidden="false" customHeight="false" outlineLevel="0" collapsed="false">
      <c r="A76" s="4" t="s">
        <v>158</v>
      </c>
      <c r="B76" s="3" t="s">
        <v>159</v>
      </c>
      <c r="C76" s="0" t="str">
        <f aca="false">B76&amp;"|"</f>
        <v>Schmidt, Eric, Robert Work, et al., ‘First Quarter Recommendations’, National Security Commission on Artificial Intelligence (March 2020). (Open in a new window)Google Scholar|</v>
      </c>
      <c r="D76" s="0" t="str">
        <f aca="false">D75&amp;C76</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|Cote, Owen Reid, Jr., ‘The Politics of Innovative Military Doctrine: The US Navy and Fleet Ballistic Missiles’, Doctoral dissertation, Massachusetts Institute of Technology, Feb. 1996. (Open in a new window)Google Scholar|Cronin, Audrey Kurth, Power to the People: How Open Technological Innovation Is Arming Tomorrow’s Terrorists (Oxford: Oxford UP 2020). (Open in a new window)Google Scholar|Department of the Navy, ‘Unmanned Campaign Network’, 16 Mar. 2021, https://www.navy.mil/Portals/1/Strategic/20210315%20Unmanned%20Campaign_Final_LowRes.pdf?ver=LtCZ-BPlWki6vCBTdgtDMA%3D%3D|DiNapoli, Timothy J., ‘DOD’s Use of Other Transactions for Prototype Projects Has Increased’, Government Accountability Office GAO-20–84, Nov. 2019, https://www.gao.gov/assets/710/702861.pdf|Dunn, Richard L., ‘Other Transactions Contracts: Poorly Understood, Little Used’, National Defense Magazine, 15 May 2017, https://www.nationaldefensemagazine.org/articles/2017/5/15/other-transactions-contracts-poorly-understood-little-used|Easley, Matthew P., ‘Army Artificial Intelligence Task Force (AI-TF)’, US Army Futures Command (2019). https://www.clsac.org/uploads/5/0/6/3/50633811/2019-easley-aiml.pdf|Eckhardt, Jonathan T., Michael P. Ciuchta, and Mason Carpenter, ‘Open Innovation, Information, and Entrepreneurship within Platform Ecosystems’, Strategic Entrepreneurship Journal 12 (2018), 369–91. DOI:10.1002/sej.1298 |Eckstein, Megan, ‘Marine Corps Information Community Growing in Capability, Trying to Find Its Place in Joint Operations’, USNI News, 7 Jan. 2020, https://news.usni.org/2020/01/07/marine-corps-information-community-growing-in-capability-trying-to-find-its-place-in-joint-operations|Eversden, Andrew, ‘The Army AI Task Force Takes on Two ‘Key’ Projects’, C4ISRnet, 10 Jun. 2020, https://www.c4isrnet.com/artificial-intelligence/2020/06/10/the-army-ai-task-force-takes-on-two-key-projects/|Farrell, Theo, Sten Rynning, and Terry Terriff, Transforming Military Power since the Cold War: Britain, France, and the United States, 1991–2012 (Cambridge, UK: Cambridge UP 2013). |Feickert, Andrew and Brendan W. McGarry, ‘The Army’s Modernization Strategy: Congressional Oversight Considerations’, Congressional Research Service, 7 Feb. 2020, https://www.everycrsreport.com/files/20200207_R46216_444d93a212c95fd2fba1a596d520ca263a833307.pdf|Feickert, Andrew, ‘The Army’s Future Combat System (FCS): Background and Issues for Congress’, Congressional Research Services, 5 May 2006, https://www.everycrsreport.com/files/20060505_RL32888_bd0c5e4691669243ba6aacea43a6ce91c182246e.pdf|Fiott, Daniel, ‘A Revolution Too Far? US Defence Innovation, Europe and NATO’s Military-Technological Gap’, Journal of Strategic Studies 40/3 (2017), 417–37. DOI:10.1080/01402390.2016.1176565 |Gansler, Jacques, Democracy’s Arsenal: Creating a Twenty-First Century Defense Industry (Cambridge, MA: MIT UP 2011). |Geurts, James F., ‘The Department of the Navy Fiscal Year 2020 Budget Request for Science and Technology Programs’, House Armed Services Committee, 28 Mar. 2019. https://armedservices.house.gov/_cache/files/c/4/c46d8d7f-cade-4487-bae0-f87943aa205e/5AD8EA25BA971C25EF67C083034A43F2.hhrg-116-as26-wstate-geurtsj-20190328.pdf|Gilli, Andrea and Mauro Gilli, ‘Why China Has Not Caught Up Yet: Military-Technological Superiority and the Limits of Imitation, Reverse Engineering, and Cyber Espionage’, International Security 43/3 ( Winter 2018/19), 141–89. DOI:10.1162/isec_a_00337 |Glavy, Matthew G. and Brett Goldstein, ‘The Battle for Mon Cala: Getting the Military to Deliver Its Own Tech Solutions’, War On The Rocks, 20 Aug. 2020, https://warontherocks.com/2020/08/the-battle-for-mon-cala-getting-the-military-to-deliver-its-own-tech-solutions/|Griffin, Stuart, ‘Military Innovation Studies: Multidisciplinary or Lacking Discipline?’, Journal of Strategic Studies 40/1/2 (2016), 196–224. DOI:10.1080/01402390.2016.1196358 |Grissom, Andrew, ‘The Future of Military Innovation Studies’, Journal of Strategic Studies 29/5 (Oct. 2006), 905–34. DOI:10.1080/01402390600901067. |Haduch, Thomas W., ‘Maintaining the US Army Research, Development and Engineering Command Prototype Integration Facilities’, Defense Acquisition University Press. May 2014, https://www.dau.edu/training/career-development/sscf/Documents/T.%20HaduchSSCF2014SRPOPSECFINAL.pdf|Harper, Jon, ‘Army to Release New Wish List for Optionally Manned Fighting Vehicle’, National Defense Magazine, 19 Feb. 2020, https://www.nationaldefensemagazine.org/articles/2020/2/19/army-to-release-new-wish-list-for-optionally-manned-fighting-vehicle|Horowitz, Michael C., The Diffusion of Military Power: Causes and Consequences for International Politics (Princeton, NJ: Princeton UP 2010). |Horowitz, Michael, ‘Artificial Intelligence, International Competition, and the Balance of Power’, Texas National Security Review 1/3 (May 2018), 36–57. https://tnsr.org/2018/05/artificial-intelligence-international-competition-and-the-balance-of-power/|Kaeser, Hans Ulrich, ‘The Future Combat System: What Future Can The Army Afford?’, Center for Strategic and International Studies, 5 Feb. 2009. Working draft, https://csis-website-prod.s3.amazonaws.com/s3fs-public/legacy_files/files/media/csis/pubs/090205_fcsarmy.pdf|Kenyon, Henry, ‘Rapid App Response: Marines to Embed Development Teams with Deployed Units’, GCN, 6 Feb. 2012, https://gcn.com/articles/2012/02/06/marine-corps-apps-embedded-development-teams.aspx|Kleinholz, Joshua, ‘AFwerX Vegas Opens New Doors to Innovation’, Air Combat Command, 23 Aug. 2017, https://www.acc.af.mil/News/Article-Display/Article/1288094/afwerx-vegas-opens-new-doors-to-innovation/|Kollars, Nina A., ‘War’s Horizon: Soldier-Led Adaptation in Iraq and Vietnam’, Journal of Strategic Studies 38/4 (2015), 529–53. DOI:10.1080/01402390.2014.971947 |Krazit, Tom, ‘How the US Air Force Deployed Kubernetes and Istio on an F-16 in 45 Days’, The New Stack, 24 Dec. 2019, https://thenewstack.io/how-the-u-s-air-force-deployed-kubernetes-and-istio-on-an-f-16-in-45-days/|Lake, Daniel R., The Pursuit of Technological Superiority and the Shrinking American Military (New York, NY: Palgrave MacMillan 2019). |Lavelle, Sean, ‘The Navy’s Kessel Run’, US Naval Institute, 3 Jan. 2019, https://blog.usni.org/posts/2019/01/03/the-navys-kessel-run|Leonard, Herman, et al., ‘SOFWERX: Innovation at US Special Operations Command’, Harvard Business School Case 819–004, Jul. 2018. (Open in a new window)Google Scholar|Lindsay, Jon R., Information Technology and Military Power (Ithaca, NY: Cornell UP 2020). |Lofgren, Eric, ‘The Future of Navy Software Development with Lt. Sean Lavelle,’ Acquisition Talk (1 Apr. 2020). Audio. (Open in a new window)Google Scholar|Lofgren, Eric, ‘The Last Frontier of Acquisition Reform: The Budget Process’, Conference Paper, Proceedings of the Seventeenth Annual Acquisition Research Symposium, 13-14 May 2020. Prepared for the Naval Postgraduate School, Monterey, CA. (Open in a new window)Google Scholar|Mabus, Ray, ‘Harnessing the Navy’s Culture of Innovation’, Naval Science and Technology Future Force Magazine, 7 Apr. 2015, https://futureforce.navylive.dodlive.mil/2015/04/harnessing-the-navys-culture-of-innovation/|Magnuson, Stew, ‘AUSA NEWS: Army Futures Command Breaking Down Barriers’, National Defense Magazine, 16 Oct. 2019, https://www.nationaldefensemagazine.org/articles/2019/10/16/army-futures-command-breaking-down-barriers|Mahnken, Thomas G., Technology and the American Way of War since 1945 (New York, NY: Columbia UP 2008). (Open in a new window)Google Scholar|Mansoor, Peter R. and Williamson Murray, (eds.), The Culture of Military Organizations (Cambridge: UK: Cambridge UP 2019). |Mayfield, Mandy, ‘Army Futures Command Establishes “Software Factory”’, National Defense Magazine, 21 Aug. 2020, https://www.nationaldefensemagazine.org/articles/2020/8/21/army-futures-command-establishes-software-factory|McCain, John, ‘Opening Statement by SASC Chairman John McCain at Hearing on DoD Nominations’, Office of Senator John McCain, 14 Nov. 2017, https://www.mccain.senate.gov/public/index.cfm/floor-statements?ID=05DCC73A-F9F2-44E8-A75F-236003222AF2|McQuade, J. Michael et al., ‘Software Is Never Done: Refactoring the Acquisition Code for Competitive Advantage’, Defense Innovation Board, 3 May 2019, https://media.defense.gov/2019/May/01/2002126690/-1/-1/0/SWAP%20EXECUTIVE%20SUMMARY.PDF|Miller, Jason, ‘Air Force’s game-changing approach to cloud accreditation, Federal News Network’, 30 Jul. 2020, https://federalnewsnetwork.com/ask-the-cio/2020/07/air-forces-game-changing-approach-to-cloud-accreditation/|Mori, Satoru, ‘US Defense Innovation and Artificial Intelligence’, Asia-Pacific Review 25/2 (2018), 16–44. DOI:10.1080/13439006.2018.1545488 |NavalXAgility, ‘Scaling Agility, Navy Doubles Tech Bridge Locations,’ 13 May 2020, https://www.navy.mil/submit/display.asp?story_id=112953|Neller, Robert B., ‘Strategy for Assured Command and Control: Enabling C2 for Tomorrow’s Marine Corps, Today’, US Marine Corps, Mar. 2017, https://www.hqmc.marines.mil/Portals/61/Marine_Corps_Strategy_for_Assured_Command_and_Control_March_2017.pdf?ver=2017-05-30-160731-940|Oakley, Shelby S., ‘Defense Acquisitions Annual Assessment: Drive to Deliver Capabilities Faster Increases Importance of Program Knowledge and Consistent Data for Oversight’, Government Accountability Office, Jun. 2020. https://www.gao.gov/assets/710/707359.pdf|Office of the Secretary of Defense, ‘National Defense Strategy of the United States of America: Sharpening the American Military’s Competitive Edge’, Jan. 2018. (Open in a new window)Google Scholar|Office of the Secretary of the Army, ‘Army Directive 2017–22 (Cross-functional Team Pilot in Support of Materiel Development’, 6 Oct. 2017. (Open in a new window)Google Scholar|Perez, Tony and Adam Welch, ‘AFWERX Spark’, in Brian Maue (ed..), Empowering Next Generation Innovators and Innovations (Arlington, VA: AFWERX 2020), 37–49. https://www.afwerx.af.mil/resources/AFWERX-Book.pdf|Pierce, Terry, ‘The Navy Needs a New Engine of Innovation’, Proceedings Magazine 144/11/1389 (Nov 2018). https://www.usni.org/magazines/proceedings/2018/november/navy-needs-new-engine-innovation|Pierce, Terry, Warfighting and Disruptive Technologies: Disguising Innovation (New York, NY: Frank Cass Publishers 2004). |Pomerleau, Mark, ‘Here’s What the Marines’ Information Command Centers Will Do’, C4ISR.net, 6 Dec. 2019, https://www.c4isrnet.com/information-warfare/2019/12/06/heres-what-the-marines-information-command-centers-will-do/|Pomerleau, Mark, ‘The Air Force Is All in on Software’, C4ISRnet, 12 Aug. 2019, https://www.c4isrnet.com/battlefield-tech/2019/08/12/the-air-force-is-all-in-on-software/|Posen, Barry R., ‘Foreward: Military Doctrine and the Management of Uncertainty’, Journal of Strategic Studies 39/2 (2016), 159–73. DOI:10.1080/01402390.2015.1115042 |Posen, Barry R., The Sources of Military Doctrine: France, Britain, and Germany between the World Wars (Ithaca, NY: Cornell UP 1986). (Open in a new window)Google Scholar|Raska, Michael, ‘The Sixth RMA Wave: Disruption in Military Affairs?’. Journal of Strategic Studies (2020), 1–24. DOI:10.1080/01402390.2020.1848818 |Richardson, John, ‘The Future Navy’, Office of the Chief of Naval Operations, 17 May 2017, https://admin.govexec.com/media/gbc/docs/pdfs_edit/futurenavyfinal.pdf|Roper, Will, ‘Take the Red Pill: _the New Digital Acquisition Reality’, Department of the Air Force, 15 Sept. 2020. (Open in a new window)Google Scholar|Rosen, Stephen Peter, Winning the Next War: Innovation and the Modern Military (Ithaca, NY: Cornell UP 1991). (Open in a new window)Google Scholar|Rosenberg, Barry, ‘Fail Fast, Not Twice: DoD’s Push for Agile Software Development’, Breaking Defense, 20 Jun. 2019, https://breakingdefense.com/2019/06/fail-fast-not-twice-dods-push-for-agile-software-development/|Sapolsky, Harvey M., Polaris System Development: Bureaucratic and Programmatic Success in Government (Cambridge, MA: Harvard UP 1972). |Schmidt, Eric, Robert Work, et al., ‘First Quarter Recommendations’, National Security Commission on Artificial Intelligence (March 2020). (Open in a new window)Google Scholar|</v>
      </c>
    </row>
    <row r="77" customFormat="false" ht="135.8" hidden="false" customHeight="false" outlineLevel="0" collapsed="false">
      <c r="A77" s="4" t="s">
        <v>160</v>
      </c>
      <c r="B77" s="3" t="s">
        <v>161</v>
      </c>
      <c r="C77" s="0" t="str">
        <f aca="false">B77&amp;"|"</f>
        <v>Secretary of the Air Force Public Affairs, ‘Inaugural Air Force Pitch Day: New Contracts, New Partners’, 8 Mar. 2019, https://www.af.mil/News/Article-Display/Article/1779609/inaugural-air-force-pitch-day-new-contracts-new-partners/|</v>
      </c>
      <c r="D77" s="0" t="str">
        <f aca="false">D76&amp;C77</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|Cote, Owen Reid, Jr., ‘The Politics of Innovative Military Doctrine: The US Navy and Fleet Ballistic Missiles’, Doctoral dissertation, Massachusetts Institute of Technology, Feb. 1996. (Open in a new window)Google Scholar|Cronin, Audrey Kurth, Power to the People: How Open Technological Innovation Is Arming Tomorrow’s Terrorists (Oxford: Oxford UP 2020). (Open in a new window)Google Scholar|Department of the Navy, ‘Unmanned Campaign Network’, 16 Mar. 2021, https://www.navy.mil/Portals/1/Strategic/20210315%20Unmanned%20Campaign_Final_LowRes.pdf?ver=LtCZ-BPlWki6vCBTdgtDMA%3D%3D|DiNapoli, Timothy J., ‘DOD’s Use of Other Transactions for Prototype Projects Has Increased’, Government Accountability Office GAO-20–84, Nov. 2019, https://www.gao.gov/assets/710/702861.pdf|Dunn, Richard L., ‘Other Transactions Contracts: Poorly Understood, Little Used’, National Defense Magazine, 15 May 2017, https://www.nationaldefensemagazine.org/articles/2017/5/15/other-transactions-contracts-poorly-understood-little-used|Easley, Matthew P., ‘Army Artificial Intelligence Task Force (AI-TF)’, US Army Futures Command (2019). https://www.clsac.org/uploads/5/0/6/3/50633811/2019-easley-aiml.pdf|Eckhardt, Jonathan T., Michael P. Ciuchta, and Mason Carpenter, ‘Open Innovation, Information, and Entrepreneurship within Platform Ecosystems’, Strategic Entrepreneurship Journal 12 (2018), 369–91. DOI:10.1002/sej.1298 |Eckstein, Megan, ‘Marine Corps Information Community Growing in Capability, Trying to Find Its Place in Joint Operations’, USNI News, 7 Jan. 2020, https://news.usni.org/2020/01/07/marine-corps-information-community-growing-in-capability-trying-to-find-its-place-in-joint-operations|Eversden, Andrew, ‘The Army AI Task Force Takes on Two ‘Key’ Projects’, C4ISRnet, 10 Jun. 2020, https://www.c4isrnet.com/artificial-intelligence/2020/06/10/the-army-ai-task-force-takes-on-two-key-projects/|Farrell, Theo, Sten Rynning, and Terry Terriff, Transforming Military Power since the Cold War: Britain, France, and the United States, 1991–2012 (Cambridge, UK: Cambridge UP 2013). |Feickert, Andrew and Brendan W. McGarry, ‘The Army’s Modernization Strategy: Congressional Oversight Considerations’, Congressional Research Service, 7 Feb. 2020, https://www.everycrsreport.com/files/20200207_R46216_444d93a212c95fd2fba1a596d520ca263a833307.pdf|Feickert, Andrew, ‘The Army’s Future Combat System (FCS): Background and Issues for Congress’, Congressional Research Services, 5 May 2006, https://www.everycrsreport.com/files/20060505_RL32888_bd0c5e4691669243ba6aacea43a6ce91c182246e.pdf|Fiott, Daniel, ‘A Revolution Too Far? US Defence Innovation, Europe and NATO’s Military-Technological Gap’, Journal of Strategic Studies 40/3 (2017), 417–37. DOI:10.1080/01402390.2016.1176565 |Gansler, Jacques, Democracy’s Arsenal: Creating a Twenty-First Century Defense Industry (Cambridge, MA: MIT UP 2011). |Geurts, James F., ‘The Department of the Navy Fiscal Year 2020 Budget Request for Science and Technology Programs’, House Armed Services Committee, 28 Mar. 2019. https://armedservices.house.gov/_cache/files/c/4/c46d8d7f-cade-4487-bae0-f87943aa205e/5AD8EA25BA971C25EF67C083034A43F2.hhrg-116-as26-wstate-geurtsj-20190328.pdf|Gilli, Andrea and Mauro Gilli, ‘Why China Has Not Caught Up Yet: Military-Technological Superiority and the Limits of Imitation, Reverse Engineering, and Cyber Espionage’, International Security 43/3 ( Winter 2018/19), 141–89. DOI:10.1162/isec_a_00337 |Glavy, Matthew G. and Brett Goldstein, ‘The Battle for Mon Cala: Getting the Military to Deliver Its Own Tech Solutions’, War On The Rocks, 20 Aug. 2020, https://warontherocks.com/2020/08/the-battle-for-mon-cala-getting-the-military-to-deliver-its-own-tech-solutions/|Griffin, Stuart, ‘Military Innovation Studies: Multidisciplinary or Lacking Discipline?’, Journal of Strategic Studies 40/1/2 (2016), 196–224. DOI:10.1080/01402390.2016.1196358 |Grissom, Andrew, ‘The Future of Military Innovation Studies’, Journal of Strategic Studies 29/5 (Oct. 2006), 905–34. DOI:10.1080/01402390600901067. |Haduch, Thomas W., ‘Maintaining the US Army Research, Development and Engineering Command Prototype Integration Facilities’, Defense Acquisition University Press. May 2014, https://www.dau.edu/training/career-development/sscf/Documents/T.%20HaduchSSCF2014SRPOPSECFINAL.pdf|Harper, Jon, ‘Army to Release New Wish List for Optionally Manned Fighting Vehicle’, National Defense Magazine, 19 Feb. 2020, https://www.nationaldefensemagazine.org/articles/2020/2/19/army-to-release-new-wish-list-for-optionally-manned-fighting-vehicle|Horowitz, Michael C., The Diffusion of Military Power: Causes and Consequences for International Politics (Princeton, NJ: Princeton UP 2010). |Horowitz, Michael, ‘Artificial Intelligence, International Competition, and the Balance of Power’, Texas National Security Review 1/3 (May 2018), 36–57. https://tnsr.org/2018/05/artificial-intelligence-international-competition-and-the-balance-of-power/|Kaeser, Hans Ulrich, ‘The Future Combat System: What Future Can The Army Afford?’, Center for Strategic and International Studies, 5 Feb. 2009. Working draft, https://csis-website-prod.s3.amazonaws.com/s3fs-public/legacy_files/files/media/csis/pubs/090205_fcsarmy.pdf|Kenyon, Henry, ‘Rapid App Response: Marines to Embed Development Teams with Deployed Units’, GCN, 6 Feb. 2012, https://gcn.com/articles/2012/02/06/marine-corps-apps-embedded-development-teams.aspx|Kleinholz, Joshua, ‘AFwerX Vegas Opens New Doors to Innovation’, Air Combat Command, 23 Aug. 2017, https://www.acc.af.mil/News/Article-Display/Article/1288094/afwerx-vegas-opens-new-doors-to-innovation/|Kollars, Nina A., ‘War’s Horizon: Soldier-Led Adaptation in Iraq and Vietnam’, Journal of Strategic Studies 38/4 (2015), 529–53. DOI:10.1080/01402390.2014.971947 |Krazit, Tom, ‘How the US Air Force Deployed Kubernetes and Istio on an F-16 in 45 Days’, The New Stack, 24 Dec. 2019, https://thenewstack.io/how-the-u-s-air-force-deployed-kubernetes-and-istio-on-an-f-16-in-45-days/|Lake, Daniel R., The Pursuit of Technological Superiority and the Shrinking American Military (New York, NY: Palgrave MacMillan 2019). |Lavelle, Sean, ‘The Navy’s Kessel Run’, US Naval Institute, 3 Jan. 2019, https://blog.usni.org/posts/2019/01/03/the-navys-kessel-run|Leonard, Herman, et al., ‘SOFWERX: Innovation at US Special Operations Command’, Harvard Business School Case 819–004, Jul. 2018. (Open in a new window)Google Scholar|Lindsay, Jon R., Information Technology and Military Power (Ithaca, NY: Cornell UP 2020). |Lofgren, Eric, ‘The Future of Navy Software Development with Lt. Sean Lavelle,’ Acquisition Talk (1 Apr. 2020). Audio. (Open in a new window)Google Scholar|Lofgren, Eric, ‘The Last Frontier of Acquisition Reform: The Budget Process’, Conference Paper, Proceedings of the Seventeenth Annual Acquisition Research Symposium, 13-14 May 2020. Prepared for the Naval Postgraduate School, Monterey, CA. (Open in a new window)Google Scholar|Mabus, Ray, ‘Harnessing the Navy’s Culture of Innovation’, Naval Science and Technology Future Force Magazine, 7 Apr. 2015, https://futureforce.navylive.dodlive.mil/2015/04/harnessing-the-navys-culture-of-innovation/|Magnuson, Stew, ‘AUSA NEWS: Army Futures Command Breaking Down Barriers’, National Defense Magazine, 16 Oct. 2019, https://www.nationaldefensemagazine.org/articles/2019/10/16/army-futures-command-breaking-down-barriers|Mahnken, Thomas G., Technology and the American Way of War since 1945 (New York, NY: Columbia UP 2008). (Open in a new window)Google Scholar|Mansoor, Peter R. and Williamson Murray, (eds.), The Culture of Military Organizations (Cambridge: UK: Cambridge UP 2019). |Mayfield, Mandy, ‘Army Futures Command Establishes “Software Factory”’, National Defense Magazine, 21 Aug. 2020, https://www.nationaldefensemagazine.org/articles/2020/8/21/army-futures-command-establishes-software-factory|McCain, John, ‘Opening Statement by SASC Chairman John McCain at Hearing on DoD Nominations’, Office of Senator John McCain, 14 Nov. 2017, https://www.mccain.senate.gov/public/index.cfm/floor-statements?ID=05DCC73A-F9F2-44E8-A75F-236003222AF2|McQuade, J. Michael et al., ‘Software Is Never Done: Refactoring the Acquisition Code for Competitive Advantage’, Defense Innovation Board, 3 May 2019, https://media.defense.gov/2019/May/01/2002126690/-1/-1/0/SWAP%20EXECUTIVE%20SUMMARY.PDF|Miller, Jason, ‘Air Force’s game-changing approach to cloud accreditation, Federal News Network’, 30 Jul. 2020, https://federalnewsnetwork.com/ask-the-cio/2020/07/air-forces-game-changing-approach-to-cloud-accreditation/|Mori, Satoru, ‘US Defense Innovation and Artificial Intelligence’, Asia-Pacific Review 25/2 (2018), 16–44. DOI:10.1080/13439006.2018.1545488 |NavalXAgility, ‘Scaling Agility, Navy Doubles Tech Bridge Locations,’ 13 May 2020, https://www.navy.mil/submit/display.asp?story_id=112953|Neller, Robert B., ‘Strategy for Assured Command and Control: Enabling C2 for Tomorrow’s Marine Corps, Today’, US Marine Corps, Mar. 2017, https://www.hqmc.marines.mil/Portals/61/Marine_Corps_Strategy_for_Assured_Command_and_Control_March_2017.pdf?ver=2017-05-30-160731-940|Oakley, Shelby S., ‘Defense Acquisitions Annual Assessment: Drive to Deliver Capabilities Faster Increases Importance of Program Knowledge and Consistent Data for Oversight’, Government Accountability Office, Jun. 2020. https://www.gao.gov/assets/710/707359.pdf|Office of the Secretary of Defense, ‘National Defense Strategy of the United States of America: Sharpening the American Military’s Competitive Edge’, Jan. 2018. (Open in a new window)Google Scholar|Office of the Secretary of the Army, ‘Army Directive 2017–22 (Cross-functional Team Pilot in Support of Materiel Development’, 6 Oct. 2017. (Open in a new window)Google Scholar|Perez, Tony and Adam Welch, ‘AFWERX Spark’, in Brian Maue (ed..), Empowering Next Generation Innovators and Innovations (Arlington, VA: AFWERX 2020), 37–49. https://www.afwerx.af.mil/resources/AFWERX-Book.pdf|Pierce, Terry, ‘The Navy Needs a New Engine of Innovation’, Proceedings Magazine 144/11/1389 (Nov 2018). https://www.usni.org/magazines/proceedings/2018/november/navy-needs-new-engine-innovation|Pierce, Terry, Warfighting and Disruptive Technologies: Disguising Innovation (New York, NY: Frank Cass Publishers 2004). |Pomerleau, Mark, ‘Here’s What the Marines’ Information Command Centers Will Do’, C4ISR.net, 6 Dec. 2019, https://www.c4isrnet.com/information-warfare/2019/12/06/heres-what-the-marines-information-command-centers-will-do/|Pomerleau, Mark, ‘The Air Force Is All in on Software’, C4ISRnet, 12 Aug. 2019, https://www.c4isrnet.com/battlefield-tech/2019/08/12/the-air-force-is-all-in-on-software/|Posen, Barry R., ‘Foreward: Military Doctrine and the Management of Uncertainty’, Journal of Strategic Studies 39/2 (2016), 159–73. DOI:10.1080/01402390.2015.1115042 |Posen, Barry R., The Sources of Military Doctrine: France, Britain, and Germany between the World Wars (Ithaca, NY: Cornell UP 1986). (Open in a new window)Google Scholar|Raska, Michael, ‘The Sixth RMA Wave: Disruption in Military Affairs?’. Journal of Strategic Studies (2020), 1–24. DOI:10.1080/01402390.2020.1848818 |Richardson, John, ‘The Future Navy’, Office of the Chief of Naval Operations, 17 May 2017, https://admin.govexec.com/media/gbc/docs/pdfs_edit/futurenavyfinal.pdf|Roper, Will, ‘Take the Red Pill: _the New Digital Acquisition Reality’, Department of the Air Force, 15 Sept. 2020. (Open in a new window)Google Scholar|Rosen, Stephen Peter, Winning the Next War: Innovation and the Modern Military (Ithaca, NY: Cornell UP 1991). (Open in a new window)Google Scholar|Rosenberg, Barry, ‘Fail Fast, Not Twice: DoD’s Push for Agile Software Development’, Breaking Defense, 20 Jun. 2019, https://breakingdefense.com/2019/06/fail-fast-not-twice-dods-push-for-agile-software-development/|Sapolsky, Harvey M., Polaris System Development: Bureaucratic and Programmatic Success in Government (Cambridge, MA: Harvard UP 1972). |Schmidt, Eric, Robert Work, et al., ‘First Quarter Recommendations’, National Security Commission on Artificial Intelligence (March 2020). (Open in a new window)Google Scholar|Secretary of the Air Force Public Affairs, ‘Inaugural Air Force Pitch Day: New Contracts, New Partners’, 8 Mar. 2019, https://www.af.mil/News/Article-Display/Article/1779609/inaugural-air-force-pitch-day-new-contracts-new-partners/|</v>
      </c>
    </row>
    <row r="78" customFormat="false" ht="158.2" hidden="false" customHeight="false" outlineLevel="0" collapsed="false">
      <c r="A78" s="4" t="s">
        <v>162</v>
      </c>
      <c r="B78" s="3" t="s">
        <v>163</v>
      </c>
      <c r="C78" s="0" t="str">
        <f aca="false">B78&amp;"|"</f>
        <v>South, Todd, ‘New Tech from Futures Command ‘Designed, Built, Tested with Soldiers’ to Get It There Faster’, Army Times, 20 Oct. 2019, https://www.armytimes.com/news/your-army/2019/10/21/new-tech-from-futures-command-designed-built-tested-with-soldiers-to-get-it-there-faster/|</v>
      </c>
      <c r="D78" s="0" t="str">
        <f aca="false">D77&amp;C78</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|Cote, Owen Reid, Jr., ‘The Politics of Innovative Military Doctrine: The US Navy and Fleet Ballistic Missiles’, Doctoral dissertation, Massachusetts Institute of Technology, Feb. 1996. (Open in a new window)Google Scholar|Cronin, Audrey Kurth, Power to the People: How Open Technological Innovation Is Arming Tomorrow’s Terrorists (Oxford: Oxford UP 2020). (Open in a new window)Google Scholar|Department of the Navy, ‘Unmanned Campaign Network’, 16 Mar. 2021, https://www.navy.mil/Portals/1/Strategic/20210315%20Unmanned%20Campaign_Final_LowRes.pdf?ver=LtCZ-BPlWki6vCBTdgtDMA%3D%3D|DiNapoli, Timothy J., ‘DOD’s Use of Other Transactions for Prototype Projects Has Increased’, Government Accountability Office GAO-20–84, Nov. 2019, https://www.gao.gov/assets/710/702861.pdf|Dunn, Richard L., ‘Other Transactions Contracts: Poorly Understood, Little Used’, National Defense Magazine, 15 May 2017, https://www.nationaldefensemagazine.org/articles/2017/5/15/other-transactions-contracts-poorly-understood-little-used|Easley, Matthew P., ‘Army Artificial Intelligence Task Force (AI-TF)’, US Army Futures Command (2019). https://www.clsac.org/uploads/5/0/6/3/50633811/2019-easley-aiml.pdf|Eckhardt, Jonathan T., Michael P. Ciuchta, and Mason Carpenter, ‘Open Innovation, Information, and Entrepreneurship within Platform Ecosystems’, Strategic Entrepreneurship Journal 12 (2018), 369–91. DOI:10.1002/sej.1298 |Eckstein, Megan, ‘Marine Corps Information Community Growing in Capability, Trying to Find Its Place in Joint Operations’, USNI News, 7 Jan. 2020, https://news.usni.org/2020/01/07/marine-corps-information-community-growing-in-capability-trying-to-find-its-place-in-joint-operations|Eversden, Andrew, ‘The Army AI Task Force Takes on Two ‘Key’ Projects’, C4ISRnet, 10 Jun. 2020, https://www.c4isrnet.com/artificial-intelligence/2020/06/10/the-army-ai-task-force-takes-on-two-key-projects/|Farrell, Theo, Sten Rynning, and Terry Terriff, Transforming Military Power since the Cold War: Britain, France, and the United States, 1991–2012 (Cambridge, UK: Cambridge UP 2013). |Feickert, Andrew and Brendan W. McGarry, ‘The Army’s Modernization Strategy: Congressional Oversight Considerations’, Congressional Research Service, 7 Feb. 2020, https://www.everycrsreport.com/files/20200207_R46216_444d93a212c95fd2fba1a596d520ca263a833307.pdf|Feickert, Andrew, ‘The Army’s Future Combat System (FCS): Background and Issues for Congress’, Congressional Research Services, 5 May 2006, https://www.everycrsreport.com/files/20060505_RL32888_bd0c5e4691669243ba6aacea43a6ce91c182246e.pdf|Fiott, Daniel, ‘A Revolution Too Far? US Defence Innovation, Europe and NATO’s Military-Technological Gap’, Journal of Strategic Studies 40/3 (2017), 417–37. DOI:10.1080/01402390.2016.1176565 |Gansler, Jacques, Democracy’s Arsenal: Creating a Twenty-First Century Defense Industry (Cambridge, MA: MIT UP 2011). |Geurts, James F., ‘The Department of the Navy Fiscal Year 2020 Budget Request for Science and Technology Programs’, House Armed Services Committee, 28 Mar. 2019. https://armedservices.house.gov/_cache/files/c/4/c46d8d7f-cade-4487-bae0-f87943aa205e/5AD8EA25BA971C25EF67C083034A43F2.hhrg-116-as26-wstate-geurtsj-20190328.pdf|Gilli, Andrea and Mauro Gilli, ‘Why China Has Not Caught Up Yet: Military-Technological Superiority and the Limits of Imitation, Reverse Engineering, and Cyber Espionage’, International Security 43/3 ( Winter 2018/19), 141–89. DOI:10.1162/isec_a_00337 |Glavy, Matthew G. and Brett Goldstein, ‘The Battle for Mon Cala: Getting the Military to Deliver Its Own Tech Solutions’, War On The Rocks, 20 Aug. 2020, https://warontherocks.com/2020/08/the-battle-for-mon-cala-getting-the-military-to-deliver-its-own-tech-solutions/|Griffin, Stuart, ‘Military Innovation Studies: Multidisciplinary or Lacking Discipline?’, Journal of Strategic Studies 40/1/2 (2016), 196–224. DOI:10.1080/01402390.2016.1196358 |Grissom, Andrew, ‘The Future of Military Innovation Studies’, Journal of Strategic Studies 29/5 (Oct. 2006), 905–34. DOI:10.1080/01402390600901067. |Haduch, Thomas W., ‘Maintaining the US Army Research, Development and Engineering Command Prototype Integration Facilities’, Defense Acquisition University Press. May 2014, https://www.dau.edu/training/career-development/sscf/Documents/T.%20HaduchSSCF2014SRPOPSECFINAL.pdf|Harper, Jon, ‘Army to Release New Wish List for Optionally Manned Fighting Vehicle’, National Defense Magazine, 19 Feb. 2020, https://www.nationaldefensemagazine.org/articles/2020/2/19/army-to-release-new-wish-list-for-optionally-manned-fighting-vehicle|Horowitz, Michael C., The Diffusion of Military Power: Causes and Consequences for International Politics (Princeton, NJ: Princeton UP 2010). |Horowitz, Michael, ‘Artificial Intelligence, International Competition, and the Balance of Power’, Texas National Security Review 1/3 (May 2018), 36–57. https://tnsr.org/2018/05/artificial-intelligence-international-competition-and-the-balance-of-power/|Kaeser, Hans Ulrich, ‘The Future Combat System: What Future Can The Army Afford?’, Center for Strategic and International Studies, 5 Feb. 2009. Working draft, https://csis-website-prod.s3.amazonaws.com/s3fs-public/legacy_files/files/media/csis/pubs/090205_fcsarmy.pdf|Kenyon, Henry, ‘Rapid App Response: Marines to Embed Development Teams with Deployed Units’, GCN, 6 Feb. 2012, https://gcn.com/articles/2012/02/06/marine-corps-apps-embedded-development-teams.aspx|Kleinholz, Joshua, ‘AFwerX Vegas Opens New Doors to Innovation’, Air Combat Command, 23 Aug. 2017, https://www.acc.af.mil/News/Article-Display/Article/1288094/afwerx-vegas-opens-new-doors-to-innovation/|Kollars, Nina A., ‘War’s Horizon: Soldier-Led Adaptation in Iraq and Vietnam’, Journal of Strategic Studies 38/4 (2015), 529–53. DOI:10.1080/01402390.2014.971947 |Krazit, Tom, ‘How the US Air Force Deployed Kubernetes and Istio on an F-16 in 45 Days’, The New Stack, 24 Dec. 2019, https://thenewstack.io/how-the-u-s-air-force-deployed-kubernetes-and-istio-on-an-f-16-in-45-days/|Lake, Daniel R., The Pursuit of Technological Superiority and the Shrinking American Military (New York, NY: Palgrave MacMillan 2019). |Lavelle, Sean, ‘The Navy’s Kessel Run’, US Naval Institute, 3 Jan. 2019, https://blog.usni.org/posts/2019/01/03/the-navys-kessel-run|Leonard, Herman, et al., ‘SOFWERX: Innovation at US Special Operations Command’, Harvard Business School Case 819–004, Jul. 2018. (Open in a new window)Google Scholar|Lindsay, Jon R., Information Technology and Military Power (Ithaca, NY: Cornell UP 2020). |Lofgren, Eric, ‘The Future of Navy Software Development with Lt. Sean Lavelle,’ Acquisition Talk (1 Apr. 2020). Audio. (Open in a new window)Google Scholar|Lofgren, Eric, ‘The Last Frontier of Acquisition Reform: The Budget Process’, Conference Paper, Proceedings of the Seventeenth Annual Acquisition Research Symposium, 13-14 May 2020. Prepared for the Naval Postgraduate School, Monterey, CA. (Open in a new window)Google Scholar|Mabus, Ray, ‘Harnessing the Navy’s Culture of Innovation’, Naval Science and Technology Future Force Magazine, 7 Apr. 2015, https://futureforce.navylive.dodlive.mil/2015/04/harnessing-the-navys-culture-of-innovation/|Magnuson, Stew, ‘AUSA NEWS: Army Futures Command Breaking Down Barriers’, National Defense Magazine, 16 Oct. 2019, https://www.nationaldefensemagazine.org/articles/2019/10/16/army-futures-command-breaking-down-barriers|Mahnken, Thomas G., Technology and the American Way of War since 1945 (New York, NY: Columbia UP 2008). (Open in a new window)Google Scholar|Mansoor, Peter R. and Williamson Murray, (eds.), The Culture of Military Organizations (Cambridge: UK: Cambridge UP 2019). |Mayfield, Mandy, ‘Army Futures Command Establishes “Software Factory”’, National Defense Magazine, 21 Aug. 2020, https://www.nationaldefensemagazine.org/articles/2020/8/21/army-futures-command-establishes-software-factory|McCain, John, ‘Opening Statement by SASC Chairman John McCain at Hearing on DoD Nominations’, Office of Senator John McCain, 14 Nov. 2017, https://www.mccain.senate.gov/public/index.cfm/floor-statements?ID=05DCC73A-F9F2-44E8-A75F-236003222AF2|McQuade, J. Michael et al., ‘Software Is Never Done: Refactoring the Acquisition Code for Competitive Advantage’, Defense Innovation Board, 3 May 2019, https://media.defense.gov/2019/May/01/2002126690/-1/-1/0/SWAP%20EXECUTIVE%20SUMMARY.PDF|Miller, Jason, ‘Air Force’s game-changing approach to cloud accreditation, Federal News Network’, 30 Jul. 2020, https://federalnewsnetwork.com/ask-the-cio/2020/07/air-forces-game-changing-approach-to-cloud-accreditation/|Mori, Satoru, ‘US Defense Innovation and Artificial Intelligence’, Asia-Pacific Review 25/2 (2018), 16–44. DOI:10.1080/13439006.2018.1545488 |NavalXAgility, ‘Scaling Agility, Navy Doubles Tech Bridge Locations,’ 13 May 2020, https://www.navy.mil/submit/display.asp?story_id=112953|Neller, Robert B., ‘Strategy for Assured Command and Control: Enabling C2 for Tomorrow’s Marine Corps, Today’, US Marine Corps, Mar. 2017, https://www.hqmc.marines.mil/Portals/61/Marine_Corps_Strategy_for_Assured_Command_and_Control_March_2017.pdf?ver=2017-05-30-160731-940|Oakley, Shelby S., ‘Defense Acquisitions Annual Assessment: Drive to Deliver Capabilities Faster Increases Importance of Program Knowledge and Consistent Data for Oversight’, Government Accountability Office, Jun. 2020. https://www.gao.gov/assets/710/707359.pdf|Office of the Secretary of Defense, ‘National Defense Strategy of the United States of America: Sharpening the American Military’s Competitive Edge’, Jan. 2018. (Open in a new window)Google Scholar|Office of the Secretary of the Army, ‘Army Directive 2017–22 (Cross-functional Team Pilot in Support of Materiel Development’, 6 Oct. 2017. (Open in a new window)Google Scholar|Perez, Tony and Adam Welch, ‘AFWERX Spark’, in Brian Maue (ed..), Empowering Next Generation Innovators and Innovations (Arlington, VA: AFWERX 2020), 37–49. https://www.afwerx.af.mil/resources/AFWERX-Book.pdf|Pierce, Terry, ‘The Navy Needs a New Engine of Innovation’, Proceedings Magazine 144/11/1389 (Nov 2018). https://www.usni.org/magazines/proceedings/2018/november/navy-needs-new-engine-innovation|Pierce, Terry, Warfighting and Disruptive Technologies: Disguising Innovation (New York, NY: Frank Cass Publishers 2004). |Pomerleau, Mark, ‘Here’s What the Marines’ Information Command Centers Will Do’, C4ISR.net, 6 Dec. 2019, https://www.c4isrnet.com/information-warfare/2019/12/06/heres-what-the-marines-information-command-centers-will-do/|Pomerleau, Mark, ‘The Air Force Is All in on Software’, C4ISRnet, 12 Aug. 2019, https://www.c4isrnet.com/battlefield-tech/2019/08/12/the-air-force-is-all-in-on-software/|Posen, Barry R., ‘Foreward: Military Doctrine and the Management of Uncertainty’, Journal of Strategic Studies 39/2 (2016), 159–73. DOI:10.1080/01402390.2015.1115042 |Posen, Barry R., The Sources of Military Doctrine: France, Britain, and Germany between the World Wars (Ithaca, NY: Cornell UP 1986). (Open in a new window)Google Scholar|Raska, Michael, ‘The Sixth RMA Wave: Disruption in Military Affairs?’. Journal of Strategic Studies (2020), 1–24. DOI:10.1080/01402390.2020.1848818 |Richardson, John, ‘The Future Navy’, Office of the Chief of Naval Operations, 17 May 2017, https://admin.govexec.com/media/gbc/docs/pdfs_edit/futurenavyfinal.pdf|Roper, Will, ‘Take the Red Pill: _the New Digital Acquisition Reality’, Department of the Air Force, 15 Sept. 2020. (Open in a new window)Google Scholar|Rosen, Stephen Peter, Winning the Next War: Innovation and the Modern Military (Ithaca, NY: Cornell UP 1991). (Open in a new window)Google Scholar|Rosenberg, Barry, ‘Fail Fast, Not Twice: DoD’s Push for Agile Software Development’, Breaking Defense, 20 Jun. 2019, https://breakingdefense.com/2019/06/fail-fast-not-twice-dods-push-for-agile-software-development/|Sapolsky, Harvey M., Polaris System Development: Bureaucratic and Programmatic Success in Government (Cambridge, MA: Harvard UP 1972). |Schmidt, Eric, Robert Work, et al., ‘First Quarter Recommendations’, National Security Commission on Artificial Intelligence (March 2020). (Open in a new window)Google Scholar|Secretary of the Air Force Public Affairs, ‘Inaugural Air Force Pitch Day: New Contracts, New Partners’, 8 Mar. 2019, https://www.af.mil/News/Article-Display/Article/1779609/inaugural-air-force-pitch-day-new-contracts-new-partners/|South, Todd, ‘New Tech from Futures Command ‘Designed, Built, Tested with Soldiers’ to Get It There Faster’, Army Times, 20 Oct. 2019, https://www.armytimes.com/news/your-army/2019/10/21/new-tech-from-futures-command-designed-built-tested-with-soldiers-to-get-it-there-faster/|</v>
      </c>
    </row>
    <row r="79" customFormat="false" ht="225.35" hidden="false" customHeight="false" outlineLevel="0" collapsed="false">
      <c r="A79" s="4" t="s">
        <v>164</v>
      </c>
      <c r="B79" s="3" t="s">
        <v>165</v>
      </c>
      <c r="C79" s="0" t="str">
        <f aca="false">B79&amp;"|"</f>
        <v>Spataro, Noah M., ‘FY2018 NIAC Consolidated Report: Lean Startup Approach to Capability Development: Evolving Small Batch Innovation for Dual-use Technologies’, Naval Innovation Advisory Council (1 August 2018). (Open in a new window)Google Scholar|</v>
      </c>
      <c r="D79" s="0" t="str">
        <f aca="false">D78&amp;C79</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|Cote, Owen Reid, Jr., ‘The Politics of Innovative Military Doctrine: The US Navy and Fleet Ballistic Missiles’, Doctoral dissertation, Massachusetts Institute of Technology, Feb. 1996. (Open in a new window)Google Scholar|Cronin, Audrey Kurth, Power to the People: How Open Technological Innovation Is Arming Tomorrow’s Terrorists (Oxford: Oxford UP 2020). (Open in a new window)Google Scholar|Department of the Navy, ‘Unmanned Campaign Network’, 16 Mar. 2021, https://www.navy.mil/Portals/1/Strategic/20210315%20Unmanned%20Campaign_Final_LowRes.pdf?ver=LtCZ-BPlWki6vCBTdgtDMA%3D%3D|DiNapoli, Timothy J., ‘DOD’s Use of Other Transactions for Prototype Projects Has Increased’, Government Accountability Office GAO-20–84, Nov. 2019, https://www.gao.gov/assets/710/702861.pdf|Dunn, Richard L., ‘Other Transactions Contracts: Poorly Understood, Little Used’, National Defense Magazine, 15 May 2017, https://www.nationaldefensemagazine.org/articles/2017/5/15/other-transactions-contracts-poorly-understood-little-used|Easley, Matthew P., ‘Army Artificial Intelligence Task Force (AI-TF)’, US Army Futures Command (2019). https://www.clsac.org/uploads/5/0/6/3/50633811/2019-easley-aiml.pdf|Eckhardt, Jonathan T., Michael P. Ciuchta, and Mason Carpenter, ‘Open Innovation, Information, and Entrepreneurship within Platform Ecosystems’, Strategic Entrepreneurship Journal 12 (2018), 369–91. DOI:10.1002/sej.1298 |Eckstein, Megan, ‘Marine Corps Information Community Growing in Capability, Trying to Find Its Place in Joint Operations’, USNI News, 7 Jan. 2020, https://news.usni.org/2020/01/07/marine-corps-information-community-growing-in-capability-trying-to-find-its-place-in-joint-operations|Eversden, Andrew, ‘The Army AI Task Force Takes on Two ‘Key’ Projects’, C4ISRnet, 10 Jun. 2020, https://www.c4isrnet.com/artificial-intelligence/2020/06/10/the-army-ai-task-force-takes-on-two-key-projects/|Farrell, Theo, Sten Rynning, and Terry Terriff, Transforming Military Power since the Cold War: Britain, France, and the United States, 1991–2012 (Cambridge, UK: Cambridge UP 2013). |Feickert, Andrew and Brendan W. McGarry, ‘The Army’s Modernization Strategy: Congressional Oversight Considerations’, Congressional Research Service, 7 Feb. 2020, https://www.everycrsreport.com/files/20200207_R46216_444d93a212c95fd2fba1a596d520ca263a833307.pdf|Feickert, Andrew, ‘The Army’s Future Combat System (FCS): Background and Issues for Congress’, Congressional Research Services, 5 May 2006, https://www.everycrsreport.com/files/20060505_RL32888_bd0c5e4691669243ba6aacea43a6ce91c182246e.pdf|Fiott, Daniel, ‘A Revolution Too Far? US Defence Innovation, Europe and NATO’s Military-Technological Gap’, Journal of Strategic Studies 40/3 (2017), 417–37. DOI:10.1080/01402390.2016.1176565 |Gansler, Jacques, Democracy’s Arsenal: Creating a Twenty-First Century Defense Industry (Cambridge, MA: MIT UP 2011). |Geurts, James F., ‘The Department of the Navy Fiscal Year 2020 Budget Request for Science and Technology Programs’, House Armed Services Committee, 28 Mar. 2019. https://armedservices.house.gov/_cache/files/c/4/c46d8d7f-cade-4487-bae0-f87943aa205e/5AD8EA25BA971C25EF67C083034A43F2.hhrg-116-as26-wstate-geurtsj-20190328.pdf|Gilli, Andrea and Mauro Gilli, ‘Why China Has Not Caught Up Yet: Military-Technological Superiority and the Limits of Imitation, Reverse Engineering, and Cyber Espionage’, International Security 43/3 ( Winter 2018/19), 141–89. DOI:10.1162/isec_a_00337 |Glavy, Matthew G. and Brett Goldstein, ‘The Battle for Mon Cala: Getting the Military to Deliver Its Own Tech Solutions’, War On The Rocks, 20 Aug. 2020, https://warontherocks.com/2020/08/the-battle-for-mon-cala-getting-the-military-to-deliver-its-own-tech-solutions/|Griffin, Stuart, ‘Military Innovation Studies: Multidisciplinary or Lacking Discipline?’, Journal of Strategic Studies 40/1/2 (2016), 196–224. DOI:10.1080/01402390.2016.1196358 |Grissom, Andrew, ‘The Future of Military Innovation Studies’, Journal of Strategic Studies 29/5 (Oct. 2006), 905–34. DOI:10.1080/01402390600901067. |Haduch, Thomas W., ‘Maintaining the US Army Research, Development and Engineering Command Prototype Integration Facilities’, Defense Acquisition University Press. May 2014, https://www.dau.edu/training/career-development/sscf/Documents/T.%20HaduchSSCF2014SRPOPSECFINAL.pdf|Harper, Jon, ‘Army to Release New Wish List for Optionally Manned Fighting Vehicle’, National Defense Magazine, 19 Feb. 2020, https://www.nationaldefensemagazine.org/articles/2020/2/19/army-to-release-new-wish-list-for-optionally-manned-fighting-vehicle|Horowitz, Michael C., The Diffusion of Military Power: Causes and Consequences for International Politics (Princeton, NJ: Princeton UP 2010). |Horowitz, Michael, ‘Artificial Intelligence, International Competition, and the Balance of Power’, Texas National Security Review 1/3 (May 2018), 36–57. https://tnsr.org/2018/05/artificial-intelligence-international-competition-and-the-balance-of-power/|Kaeser, Hans Ulrich, ‘The Future Combat System: What Future Can The Army Afford?’, Center for Strategic and International Studies, 5 Feb. 2009. Working draft, https://csis-website-prod.s3.amazonaws.com/s3fs-public/legacy_files/files/media/csis/pubs/090205_fcsarmy.pdf|Kenyon, Henry, ‘Rapid App Response: Marines to Embed Development Teams with Deployed Units’, GCN, 6 Feb. 2012, https://gcn.com/articles/2012/02/06/marine-corps-apps-embedded-development-teams.aspx|Kleinholz, Joshua, ‘AFwerX Vegas Opens New Doors to Innovation’, Air Combat Command, 23 Aug. 2017, https://www.acc.af.mil/News/Article-Display/Article/1288094/afwerx-vegas-opens-new-doors-to-innovation/|Kollars, Nina A., ‘War’s Horizon: Soldier-Led Adaptation in Iraq and Vietnam’, Journal of Strategic Studies 38/4 (2015), 529–53. DOI:10.1080/01402390.2014.971947 |Krazit, Tom, ‘How the US Air Force Deployed Kubernetes and Istio on an F-16 in 45 Days’, The New Stack, 24 Dec. 2019, https://thenewstack.io/how-the-u-s-air-force-deployed-kubernetes-and-istio-on-an-f-16-in-45-days/|Lake, Daniel R., The Pursuit of Technological Superiority and the Shrinking American Military (New York, NY: Palgrave MacMillan 2019). |Lavelle, Sean, ‘The Navy’s Kessel Run’, US Naval Institute, 3 Jan. 2019, https://blog.usni.org/posts/2019/01/03/the-navys-kessel-run|Leonard, Herman, et al., ‘SOFWERX: Innovation at US Special Operations Command’, Harvard Business School Case 819–004, Jul. 2018. (Open in a new window)Google Scholar|Lindsay, Jon R., Information Technology and Military Power (Ithaca, NY: Cornell UP 2020). |Lofgren, Eric, ‘The Future of Navy Software Development with Lt. Sean Lavelle,’ Acquisition Talk (1 Apr. 2020). Audio. (Open in a new window)Google Scholar|Lofgren, Eric, ‘The Last Frontier of Acquisition Reform: The Budget Process’, Conference Paper, Proceedings of the Seventeenth Annual Acquisition Research Symposium, 13-14 May 2020. Prepared for the Naval Postgraduate School, Monterey, CA. (Open in a new window)Google Scholar|Mabus, Ray, ‘Harnessing the Navy’s Culture of Innovation’, Naval Science and Technology Future Force Magazine, 7 Apr. 2015, https://futureforce.navylive.dodlive.mil/2015/04/harnessing-the-navys-culture-of-innovation/|Magnuson, Stew, ‘AUSA NEWS: Army Futures Command Breaking Down Barriers’, National Defense Magazine, 16 Oct. 2019, https://www.nationaldefensemagazine.org/articles/2019/10/16/army-futures-command-breaking-down-barriers|Mahnken, Thomas G., Technology and the American Way of War since 1945 (New York, NY: Columbia UP 2008). (Open in a new window)Google Scholar|Mansoor, Peter R. and Williamson Murray, (eds.), The Culture of Military Organizations (Cambridge: UK: Cambridge UP 2019). |Mayfield, Mandy, ‘Army Futures Command Establishes “Software Factory”’, National Defense Magazine, 21 Aug. 2020, https://www.nationaldefensemagazine.org/articles/2020/8/21/army-futures-command-establishes-software-factory|McCain, John, ‘Opening Statement by SASC Chairman John McCain at Hearing on DoD Nominations’, Office of Senator John McCain, 14 Nov. 2017, https://www.mccain.senate.gov/public/index.cfm/floor-statements?ID=05DCC73A-F9F2-44E8-A75F-236003222AF2|McQuade, J. Michael et al., ‘Software Is Never Done: Refactoring the Acquisition Code for Competitive Advantage’, Defense Innovation Board, 3 May 2019, https://media.defense.gov/2019/May/01/2002126690/-1/-1/0/SWAP%20EXECUTIVE%20SUMMARY.PDF|Miller, Jason, ‘Air Force’s game-changing approach to cloud accreditation, Federal News Network’, 30 Jul. 2020, https://federalnewsnetwork.com/ask-the-cio/2020/07/air-forces-game-changing-approach-to-cloud-accreditation/|Mori, Satoru, ‘US Defense Innovation and Artificial Intelligence’, Asia-Pacific Review 25/2 (2018), 16–44. DOI:10.1080/13439006.2018.1545488 |NavalXAgility, ‘Scaling Agility, Navy Doubles Tech Bridge Locations,’ 13 May 2020, https://www.navy.mil/submit/display.asp?story_id=112953|Neller, Robert B., ‘Strategy for Assured Command and Control: Enabling C2 for Tomorrow’s Marine Corps, Today’, US Marine Corps, Mar. 2017, https://www.hqmc.marines.mil/Portals/61/Marine_Corps_Strategy_for_Assured_Command_and_Control_March_2017.pdf?ver=2017-05-30-160731-940|Oakley, Shelby S., ‘Defense Acquisitions Annual Assessment: Drive to Deliver Capabilities Faster Increases Importance of Program Knowledge and Consistent Data for Oversight’, Government Accountability Office, Jun. 2020. https://www.gao.gov/assets/710/707359.pdf|Office of the Secretary of Defense, ‘National Defense Strategy of the United States of America: Sharpening the American Military’s Competitive Edge’, Jan. 2018. (Open in a new window)Google Scholar|Office of the Secretary of the Army, ‘Army Directive 2017–22 (Cross-functional Team Pilot in Support of Materiel Development’, 6 Oct. 2017. (Open in a new window)Google Scholar|Perez, Tony and Adam Welch, ‘AFWERX Spark’, in Brian Maue (ed..), Empowering Next Generation Innovators and Innovations (Arlington, VA: AFWERX 2020), 37–49. https://www.afwerx.af.mil/resources/AFWERX-Book.pdf|Pierce, Terry, ‘The Navy Needs a New Engine of Innovation’, Proceedings Magazine 144/11/1389 (Nov 2018). https://www.usni.org/magazines/proceedings/2018/november/navy-needs-new-engine-innovation|Pierce, Terry, Warfighting and Disruptive Technologies: Disguising Innovation (New York, NY: Frank Cass Publishers 2004). |Pomerleau, Mark, ‘Here’s What the Marines’ Information Command Centers Will Do’, C4ISR.net, 6 Dec. 2019, https://www.c4isrnet.com/information-warfare/2019/12/06/heres-what-the-marines-information-command-centers-will-do/|Pomerleau, Mark, ‘The Air Force Is All in on Software’, C4ISRnet, 12 Aug. 2019, https://www.c4isrnet.com/battlefield-tech/2019/08/12/the-air-force-is-all-in-on-software/|Posen, Barry R., ‘Foreward: Military Doctrine and the Management of Uncertainty’, Journal of Strategic Studies 39/2 (2016), 159–73. DOI:10.1080/01402390.2015.1115042 |Posen, Barry R., The Sources of Military Doctrine: France, Britain, and Germany between the World Wars (Ithaca, NY: Cornell UP 1986). (Open in a new window)Google Scholar|Raska, Michael, ‘The Sixth RMA Wave: Disruption in Military Affairs?’. Journal of Strategic Studies (2020), 1–24. DOI:10.1080/01402390.2020.1848818 |Richardson, John, ‘The Future Navy’, Office of the Chief of Naval Operations, 17 May 2017, https://admin.govexec.com/media/gbc/docs/pdfs_edit/futurenavyfinal.pdf|Roper, Will, ‘Take the Red Pill: _the New Digital Acquisition Reality’, Department of the Air Force, 15 Sept. 2020. (Open in a new window)Google Scholar|Rosen, Stephen Peter, Winning the Next War: Innovation and the Modern Military (Ithaca, NY: Cornell UP 1991). (Open in a new window)Google Scholar|Rosenberg, Barry, ‘Fail Fast, Not Twice: DoD’s Push for Agile Software Development’, Breaking Defense, 20 Jun. 2019, https://breakingdefense.com/2019/06/fail-fast-not-twice-dods-push-for-agile-software-development/|Sapolsky, Harvey M., Polaris System Development: Bureaucratic and Programmatic Success in Government (Cambridge, MA: Harvard UP 1972). |Schmidt, Eric, Robert Work, et al., ‘First Quarter Recommendations’, National Security Commission on Artificial Intelligence (March 2020). (Open in a new window)Google Scholar|Secretary of the Air Force Public Affairs, ‘Inaugural Air Force Pitch Day: New Contracts, New Partners’, 8 Mar. 2019, https://www.af.mil/News/Article-Display/Article/1779609/inaugural-air-force-pitch-day-new-contracts-new-partners/|South, Todd, ‘New Tech from Futures Command ‘Designed, Built, Tested with Soldiers’ to Get It There Faster’, Army Times, 20 Oct. 2019, https://www.armytimes.com/news/your-army/2019/10/21/new-tech-from-futures-command-designed-built-tested-with-soldiers-to-get-it-there-faster/|Spataro, Noah M., ‘FY2018 NIAC Consolidated Report: Lean Startup Approach to Capability Development: Evolving Small Batch Innovation for Dual-use Technologies’, Naval Innovation Advisory Council (1 August 2018). (Open in a new window)Google Scholar|</v>
      </c>
    </row>
    <row r="80" customFormat="false" ht="214.15" hidden="false" customHeight="false" outlineLevel="0" collapsed="false">
      <c r="A80" s="4" t="s">
        <v>166</v>
      </c>
      <c r="B80" s="3" t="s">
        <v>167</v>
      </c>
      <c r="C80" s="0" t="str">
        <f aca="false">B80&amp;"|"</f>
        <v>Stavridis, James, ‘CNO’s Decision to Terminate Strategic Studies Group Is Smart — It Used to Be Good but Lately Was Fiddling Around’, Foreign Policy, 8 Apr. 2016, https://foreignpolicy.com/2016/04/08/cnos-decision-to-terminate-strategic-studies-group-is-smart-it-used-to-be-good-but-lately-was-fiddling-around/|</v>
      </c>
      <c r="D80" s="0" t="str">
        <f aca="false">D79&amp;C80</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|Cote, Owen Reid, Jr., ‘The Politics of Innovative Military Doctrine: The US Navy and Fleet Ballistic Missiles’, Doctoral dissertation, Massachusetts Institute of Technology, Feb. 1996. (Open in a new window)Google Scholar|Cronin, Audrey Kurth, Power to the People: How Open Technological Innovation Is Arming Tomorrow’s Terrorists (Oxford: Oxford UP 2020). (Open in a new window)Google Scholar|Department of the Navy, ‘Unmanned Campaign Network’, 16 Mar. 2021, https://www.navy.mil/Portals/1/Strategic/20210315%20Unmanned%20Campaign_Final_LowRes.pdf?ver=LtCZ-BPlWki6vCBTdgtDMA%3D%3D|DiNapoli, Timothy J., ‘DOD’s Use of Other Transactions for Prototype Projects Has Increased’, Government Accountability Office GAO-20–84, Nov. 2019, https://www.gao.gov/assets/710/702861.pdf|Dunn, Richard L., ‘Other Transactions Contracts: Poorly Understood, Little Used’, National Defense Magazine, 15 May 2017, https://www.nationaldefensemagazine.org/articles/2017/5/15/other-transactions-contracts-poorly-understood-little-used|Easley, Matthew P., ‘Army Artificial Intelligence Task Force (AI-TF)’, US Army Futures Command (2019). https://www.clsac.org/uploads/5/0/6/3/50633811/2019-easley-aiml.pdf|Eckhardt, Jonathan T., Michael P. Ciuchta, and Mason Carpenter, ‘Open Innovation, Information, and Entrepreneurship within Platform Ecosystems’, Strategic Entrepreneurship Journal 12 (2018), 369–91. DOI:10.1002/sej.1298 |Eckstein, Megan, ‘Marine Corps Information Community Growing in Capability, Trying to Find Its Place in Joint Operations’, USNI News, 7 Jan. 2020, https://news.usni.org/2020/01/07/marine-corps-information-community-growing-in-capability-trying-to-find-its-place-in-joint-operations|Eversden, Andrew, ‘The Army AI Task Force Takes on Two ‘Key’ Projects’, C4ISRnet, 10 Jun. 2020, https://www.c4isrnet.com/artificial-intelligence/2020/06/10/the-army-ai-task-force-takes-on-two-key-projects/|Farrell, Theo, Sten Rynning, and Terry Terriff, Transforming Military Power since the Cold War: Britain, France, and the United States, 1991–2012 (Cambridge, UK: Cambridge UP 2013). |Feickert, Andrew and Brendan W. McGarry, ‘The Army’s Modernization Strategy: Congressional Oversight Considerations’, Congressional Research Service, 7 Feb. 2020, https://www.everycrsreport.com/files/20200207_R46216_444d93a212c95fd2fba1a596d520ca263a833307.pdf|Feickert, Andrew, ‘The Army’s Future Combat System (FCS): Background and Issues for Congress’, Congressional Research Services, 5 May 2006, https://www.everycrsreport.com/files/20060505_RL32888_bd0c5e4691669243ba6aacea43a6ce91c182246e.pdf|Fiott, Daniel, ‘A Revolution Too Far? US Defence Innovation, Europe and NATO’s Military-Technological Gap’, Journal of Strategic Studies 40/3 (2017), 417–37. DOI:10.1080/01402390.2016.1176565 |Gansler, Jacques, Democracy’s Arsenal: Creating a Twenty-First Century Defense Industry (Cambridge, MA: MIT UP 2011). |Geurts, James F., ‘The Department of the Navy Fiscal Year 2020 Budget Request for Science and Technology Programs’, House Armed Services Committee, 28 Mar. 2019. https://armedservices.house.gov/_cache/files/c/4/c46d8d7f-cade-4487-bae0-f87943aa205e/5AD8EA25BA971C25EF67C083034A43F2.hhrg-116-as26-wstate-geurtsj-20190328.pdf|Gilli, Andrea and Mauro Gilli, ‘Why China Has Not Caught Up Yet: Military-Technological Superiority and the Limits of Imitation, Reverse Engineering, and Cyber Espionage’, International Security 43/3 ( Winter 2018/19), 141–89. DOI:10.1162/isec_a_00337 |Glavy, Matthew G. and Brett Goldstein, ‘The Battle for Mon Cala: Getting the Military to Deliver Its Own Tech Solutions’, War On The Rocks, 20 Aug. 2020, https://warontherocks.com/2020/08/the-battle-for-mon-cala-getting-the-military-to-deliver-its-own-tech-solutions/|Griffin, Stuart, ‘Military Innovation Studies: Multidisciplinary or Lacking Discipline?’, Journal of Strategic Studies 40/1/2 (2016), 196–224. DOI:10.1080/01402390.2016.1196358 |Grissom, Andrew, ‘The Future of Military Innovation Studies’, Journal of Strategic Studies 29/5 (Oct. 2006), 905–34. DOI:10.1080/01402390600901067. |Haduch, Thomas W., ‘Maintaining the US Army Research, Development and Engineering Command Prototype Integration Facilities’, Defense Acquisition University Press. May 2014, https://www.dau.edu/training/career-development/sscf/Documents/T.%20HaduchSSCF2014SRPOPSECFINAL.pdf|Harper, Jon, ‘Army to Release New Wish List for Optionally Manned Fighting Vehicle’, National Defense Magazine, 19 Feb. 2020, https://www.nationaldefensemagazine.org/articles/2020/2/19/army-to-release-new-wish-list-for-optionally-manned-fighting-vehicle|Horowitz, Michael C., The Diffusion of Military Power: Causes and Consequences for International Politics (Princeton, NJ: Princeton UP 2010). |Horowitz, Michael, ‘Artificial Intelligence, International Competition, and the Balance of Power’, Texas National Security Review 1/3 (May 2018), 36–57. https://tnsr.org/2018/05/artificial-intelligence-international-competition-and-the-balance-of-power/|Kaeser, Hans Ulrich, ‘The Future Combat System: What Future Can The Army Afford?’, Center for Strategic and International Studies, 5 Feb. 2009. Working draft, https://csis-website-prod.s3.amazonaws.com/s3fs-public/legacy_files/files/media/csis/pubs/090205_fcsarmy.pdf|Kenyon, Henry, ‘Rapid App Response: Marines to Embed Development Teams with Deployed Units’, GCN, 6 Feb. 2012, https://gcn.com/articles/2012/02/06/marine-corps-apps-embedded-development-teams.aspx|Kleinholz, Joshua, ‘AFwerX Vegas Opens New Doors to Innovation’, Air Combat Command, 23 Aug. 2017, https://www.acc.af.mil/News/Article-Display/Article/1288094/afwerx-vegas-opens-new-doors-to-innovation/|Kollars, Nina A., ‘War’s Horizon: Soldier-Led Adaptation in Iraq and Vietnam’, Journal of Strategic Studies 38/4 (2015), 529–53. DOI:10.1080/01402390.2014.971947 |Krazit, Tom, ‘How the US Air Force Deployed Kubernetes and Istio on an F-16 in 45 Days’, The New Stack, 24 Dec. 2019, https://thenewstack.io/how-the-u-s-air-force-deployed-kubernetes-and-istio-on-an-f-16-in-45-days/|Lake, Daniel R., The Pursuit of Technological Superiority and the Shrinking American Military (New York, NY: Palgrave MacMillan 2019). |Lavelle, Sean, ‘The Navy’s Kessel Run’, US Naval Institute, 3 Jan. 2019, https://blog.usni.org/posts/2019/01/03/the-navys-kessel-run|Leonard, Herman, et al., ‘SOFWERX: Innovation at US Special Operations Command’, Harvard Business School Case 819–004, Jul. 2018. (Open in a new window)Google Scholar|Lindsay, Jon R., Information Technology and Military Power (Ithaca, NY: Cornell UP 2020). |Lofgren, Eric, ‘The Future of Navy Software Development with Lt. Sean Lavelle,’ Acquisition Talk (1 Apr. 2020). Audio. (Open in a new window)Google Scholar|Lofgren, Eric, ‘The Last Frontier of Acquisition Reform: The Budget Process’, Conference Paper, Proceedings of the Seventeenth Annual Acquisition Research Symposium, 13-14 May 2020. Prepared for the Naval Postgraduate School, Monterey, CA. (Open in a new window)Google Scholar|Mabus, Ray, ‘Harnessing the Navy’s Culture of Innovation’, Naval Science and Technology Future Force Magazine, 7 Apr. 2015, https://futureforce.navylive.dodlive.mil/2015/04/harnessing-the-navys-culture-of-innovation/|Magnuson, Stew, ‘AUSA NEWS: Army Futures Command Breaking Down Barriers’, National Defense Magazine, 16 Oct. 2019, https://www.nationaldefensemagazine.org/articles/2019/10/16/army-futures-command-breaking-down-barriers|Mahnken, Thomas G., Technology and the American Way of War since 1945 (New York, NY: Columbia UP 2008). (Open in a new window)Google Scholar|Mansoor, Peter R. and Williamson Murray, (eds.), The Culture of Military Organizations (Cambridge: UK: Cambridge UP 2019). |Mayfield, Mandy, ‘Army Futures Command Establishes “Software Factory”’, National Defense Magazine, 21 Aug. 2020, https://www.nationaldefensemagazine.org/articles/2020/8/21/army-futures-command-establishes-software-factory|McCain, John, ‘Opening Statement by SASC Chairman John McCain at Hearing on DoD Nominations’, Office of Senator John McCain, 14 Nov. 2017, https://www.mccain.senate.gov/public/index.cfm/floor-statements?ID=05DCC73A-F9F2-44E8-A75F-236003222AF2|McQuade, J. Michael et al., ‘Software Is Never Done: Refactoring the Acquisition Code for Competitive Advantage’, Defense Innovation Board, 3 May 2019, https://media.defense.gov/2019/May/01/2002126690/-1/-1/0/SWAP%20EXECUTIVE%20SUMMARY.PDF|Miller, Jason, ‘Air Force’s game-changing approach to cloud accreditation, Federal News Network’, 30 Jul. 2020, https://federalnewsnetwork.com/ask-the-cio/2020/07/air-forces-game-changing-approach-to-cloud-accreditation/|Mori, Satoru, ‘US Defense Innovation and Artificial Intelligence’, Asia-Pacific Review 25/2 (2018), 16–44. DOI:10.1080/13439006.2018.1545488 |NavalXAgility, ‘Scaling Agility, Navy Doubles Tech Bridge Locations,’ 13 May 2020, https://www.navy.mil/submit/display.asp?story_id=112953|Neller, Robert B., ‘Strategy for Assured Command and Control: Enabling C2 for Tomorrow’s Marine Corps, Today’, US Marine Corps, Mar. 2017, https://www.hqmc.marines.mil/Portals/61/Marine_Corps_Strategy_for_Assured_Command_and_Control_March_2017.pdf?ver=2017-05-30-160731-940|Oakley, Shelby S., ‘Defense Acquisitions Annual Assessment: Drive to Deliver Capabilities Faster Increases Importance of Program Knowledge and Consistent Data for Oversight’, Government Accountability Office, Jun. 2020. https://www.gao.gov/assets/710/707359.pdf|Office of the Secretary of Defense, ‘National Defense Strategy of the United States of America: Sharpening the American Military’s Competitive Edge’, Jan. 2018. (Open in a new window)Google Scholar|Office of the Secretary of the Army, ‘Army Directive 2017–22 (Cross-functional Team Pilot in Support of Materiel Development’, 6 Oct. 2017. (Open in a new window)Google Scholar|Perez, Tony and Adam Welch, ‘AFWERX Spark’, in Brian Maue (ed..), Empowering Next Generation Innovators and Innovations (Arlington, VA: AFWERX 2020), 37–49. https://www.afwerx.af.mil/resources/AFWERX-Book.pdf|Pierce, Terry, ‘The Navy Needs a New Engine of Innovation’, Proceedings Magazine 144/11/1389 (Nov 2018). https://www.usni.org/magazines/proceedings/2018/november/navy-needs-new-engine-innovation|Pierce, Terry, Warfighting and Disruptive Technologies: Disguising Innovation (New York, NY: Frank Cass Publishers 2004). |Pomerleau, Mark, ‘Here’s What the Marines’ Information Command Centers Will Do’, C4ISR.net, 6 Dec. 2019, https://www.c4isrnet.com/information-warfare/2019/12/06/heres-what-the-marines-information-command-centers-will-do/|Pomerleau, Mark, ‘The Air Force Is All in on Software’, C4ISRnet, 12 Aug. 2019, https://www.c4isrnet.com/battlefield-tech/2019/08/12/the-air-force-is-all-in-on-software/|Posen, Barry R., ‘Foreward: Military Doctrine and the Management of Uncertainty’, Journal of Strategic Studies 39/2 (2016), 159–73. DOI:10.1080/01402390.2015.1115042 |Posen, Barry R., The Sources of Military Doctrine: France, Britain, and Germany between the World Wars (Ithaca, NY: Cornell UP 1986). (Open in a new window)Google Scholar|Raska, Michael, ‘The Sixth RMA Wave: Disruption in Military Affairs?’. Journal of Strategic Studies (2020), 1–24. DOI:10.1080/01402390.2020.1848818 |Richardson, John, ‘The Future Navy’, Office of the Chief of Naval Operations, 17 May 2017, https://admin.govexec.com/media/gbc/docs/pdfs_edit/futurenavyfinal.pdf|Roper, Will, ‘Take the Red Pill: _the New Digital Acquisition Reality’, Department of the Air Force, 15 Sept. 2020. (Open in a new window)Google Scholar|Rosen, Stephen Peter, Winning the Next War: Innovation and the Modern Military (Ithaca, NY: Cornell UP 1991). (Open in a new window)Google Scholar|Rosenberg, Barry, ‘Fail Fast, Not Twice: DoD’s Push for Agile Software Development’, Breaking Defense, 20 Jun. 2019, https://breakingdefense.com/2019/06/fail-fast-not-twice-dods-push-for-agile-software-development/|Sapolsky, Harvey M., Polaris System Development: Bureaucratic and Programmatic Success in Government (Cambridge, MA: Harvard UP 1972). |Schmidt, Eric, Robert Work, et al., ‘First Quarter Recommendations’, National Security Commission on Artificial Intelligence (March 2020). (Open in a new window)Google Scholar|Secretary of the Air Force Public Affairs, ‘Inaugural Air Force Pitch Day: New Contracts, New Partners’, 8 Mar. 2019, https://www.af.mil/News/Article-Display/Article/1779609/inaugural-air-force-pitch-day-new-contracts-new-partners/|South, Todd, ‘New Tech from Futures Command ‘Designed, Built, Tested with Soldiers’ to Get It There Faster’, Army Times, 20 Oct. 2019, https://www.armytimes.com/news/your-army/2019/10/21/new-tech-from-futures-command-designed-built-tested-with-soldiers-to-get-it-there-faster/|Spataro, Noah M., ‘FY2018 NIAC Consolidated Report: Lean Startup Approach to Capability Development: Evolving Small Batch Innovation for Dual-use Technologies’, Naval Innovation Advisory Council (1 August 2018). (Open in a new window)Google Scholar|Stavridis, James, ‘CNO’s Decision to Terminate Strategic Studies Group Is Smart — It Used to Be Good but Lately Was Fiddling Around’, Foreign Policy, 8 Apr. 2016, https://foreignpolicy.com/2016/04/08/cnos-decision-to-terminate-strategic-studies-group-is-smart-it-used-to-be-good-but-lately-was-fiddling-around/|</v>
      </c>
    </row>
    <row r="81" customFormat="false" ht="135.8" hidden="false" customHeight="false" outlineLevel="0" collapsed="false">
      <c r="A81" s="4" t="s">
        <v>168</v>
      </c>
      <c r="B81" s="3" t="s">
        <v>169</v>
      </c>
      <c r="C81" s="0" t="str">
        <f aca="false">B81&amp;"|"</f>
        <v>Strout, Nathan, ‘The Marine Corps’ 4 Priorities in the Information Environment’, C4ISR.net, 6 Jan. 2020, https://www.c4isrnet.com/information-warfare/2020/01/06/the-marine-corps-4-priorities-in-the-information-environment/|</v>
      </c>
      <c r="D81" s="0" t="str">
        <f aca="false">D80&amp;C81</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|Cote, Owen Reid, Jr., ‘The Politics of Innovative Military Doctrine: The US Navy and Fleet Ballistic Missiles’, Doctoral dissertation, Massachusetts Institute of Technology, Feb. 1996. (Open in a new window)Google Scholar|Cronin, Audrey Kurth, Power to the People: How Open Technological Innovation Is Arming Tomorrow’s Terrorists (Oxford: Oxford UP 2020). (Open in a new window)Google Scholar|Department of the Navy, ‘Unmanned Campaign Network’, 16 Mar. 2021, https://www.navy.mil/Portals/1/Strategic/20210315%20Unmanned%20Campaign_Final_LowRes.pdf?ver=LtCZ-BPlWki6vCBTdgtDMA%3D%3D|DiNapoli, Timothy J., ‘DOD’s Use of Other Transactions for Prototype Projects Has Increased’, Government Accountability Office GAO-20–84, Nov. 2019, https://www.gao.gov/assets/710/702861.pdf|Dunn, Richard L., ‘Other Transactions Contracts: Poorly Understood, Little Used’, National Defense Magazine, 15 May 2017, https://www.nationaldefensemagazine.org/articles/2017/5/15/other-transactions-contracts-poorly-understood-little-used|Easley, Matthew P., ‘Army Artificial Intelligence Task Force (AI-TF)’, US Army Futures Command (2019). https://www.clsac.org/uploads/5/0/6/3/50633811/2019-easley-aiml.pdf|Eckhardt, Jonathan T., Michael P. Ciuchta, and Mason Carpenter, ‘Open Innovation, Information, and Entrepreneurship within Platform Ecosystems’, Strategic Entrepreneurship Journal 12 (2018), 369–91. DOI:10.1002/sej.1298 |Eckstein, Megan, ‘Marine Corps Information Community Growing in Capability, Trying to Find Its Place in Joint Operations’, USNI News, 7 Jan. 2020, https://news.usni.org/2020/01/07/marine-corps-information-community-growing-in-capability-trying-to-find-its-place-in-joint-operations|Eversden, Andrew, ‘The Army AI Task Force Takes on Two ‘Key’ Projects’, C4ISRnet, 10 Jun. 2020, https://www.c4isrnet.com/artificial-intelligence/2020/06/10/the-army-ai-task-force-takes-on-two-key-projects/|Farrell, Theo, Sten Rynning, and Terry Terriff, Transforming Military Power since the Cold War: Britain, France, and the United States, 1991–2012 (Cambridge, UK: Cambridge UP 2013). |Feickert, Andrew and Brendan W. McGarry, ‘The Army’s Modernization Strategy: Congressional Oversight Considerations’, Congressional Research Service, 7 Feb. 2020, https://www.everycrsreport.com/files/20200207_R46216_444d93a212c95fd2fba1a596d520ca263a833307.pdf|Feickert, Andrew, ‘The Army’s Future Combat System (FCS): Background and Issues for Congress’, Congressional Research Services, 5 May 2006, https://www.everycrsreport.com/files/20060505_RL32888_bd0c5e4691669243ba6aacea43a6ce91c182246e.pdf|Fiott, Daniel, ‘A Revolution Too Far? US Defence Innovation, Europe and NATO’s Military-Technological Gap’, Journal of Strategic Studies 40/3 (2017), 417–37. DOI:10.1080/01402390.2016.1176565 |Gansler, Jacques, Democracy’s Arsenal: Creating a Twenty-First Century Defense Industry (Cambridge, MA: MIT UP 2011). |Geurts, James F., ‘The Department of the Navy Fiscal Year 2020 Budget Request for Science and Technology Programs’, House Armed Services Committee, 28 Mar. 2019. https://armedservices.house.gov/_cache/files/c/4/c46d8d7f-cade-4487-bae0-f87943aa205e/5AD8EA25BA971C25EF67C083034A43F2.hhrg-116-as26-wstate-geurtsj-20190328.pdf|Gilli, Andrea and Mauro Gilli, ‘Why China Has Not Caught Up Yet: Military-Technological Superiority and the Limits of Imitation, Reverse Engineering, and Cyber Espionage’, International Security 43/3 ( Winter 2018/19), 141–89. DOI:10.1162/isec_a_00337 |Glavy, Matthew G. and Brett Goldstein, ‘The Battle for Mon Cala: Getting the Military to Deliver Its Own Tech Solutions’, War On The Rocks, 20 Aug. 2020, https://warontherocks.com/2020/08/the-battle-for-mon-cala-getting-the-military-to-deliver-its-own-tech-solutions/|Griffin, Stuart, ‘Military Innovation Studies: Multidisciplinary or Lacking Discipline?’, Journal of Strategic Studies 40/1/2 (2016), 196–224. DOI:10.1080/01402390.2016.1196358 |Grissom, Andrew, ‘The Future of Military Innovation Studies’, Journal of Strategic Studies 29/5 (Oct. 2006), 905–34. DOI:10.1080/01402390600901067. |Haduch, Thomas W., ‘Maintaining the US Army Research, Development and Engineering Command Prototype Integration Facilities’, Defense Acquisition University Press. May 2014, https://www.dau.edu/training/career-development/sscf/Documents/T.%20HaduchSSCF2014SRPOPSECFINAL.pdf|Harper, Jon, ‘Army to Release New Wish List for Optionally Manned Fighting Vehicle’, National Defense Magazine, 19 Feb. 2020, https://www.nationaldefensemagazine.org/articles/2020/2/19/army-to-release-new-wish-list-for-optionally-manned-fighting-vehicle|Horowitz, Michael C., The Diffusion of Military Power: Causes and Consequences for International Politics (Princeton, NJ: Princeton UP 2010). |Horowitz, Michael, ‘Artificial Intelligence, International Competition, and the Balance of Power’, Texas National Security Review 1/3 (May 2018), 36–57. https://tnsr.org/2018/05/artificial-intelligence-international-competition-and-the-balance-of-power/|Kaeser, Hans Ulrich, ‘The Future Combat System: What Future Can The Army Afford?’, Center for Strategic and International Studies, 5 Feb. 2009. Working draft, https://csis-website-prod.s3.amazonaws.com/s3fs-public/legacy_files/files/media/csis/pubs/090205_fcsarmy.pdf|Kenyon, Henry, ‘Rapid App Response: Marines to Embed Development Teams with Deployed Units’, GCN, 6 Feb. 2012, https://gcn.com/articles/2012/02/06/marine-corps-apps-embedded-development-teams.aspx|Kleinholz, Joshua, ‘AFwerX Vegas Opens New Doors to Innovation’, Air Combat Command, 23 Aug. 2017, https://www.acc.af.mil/News/Article-Display/Article/1288094/afwerx-vegas-opens-new-doors-to-innovation/|Kollars, Nina A., ‘War’s Horizon: Soldier-Led Adaptation in Iraq and Vietnam’, Journal of Strategic Studies 38/4 (2015), 529–53. DOI:10.1080/01402390.2014.971947 |Krazit, Tom, ‘How the US Air Force Deployed Kubernetes and Istio on an F-16 in 45 Days’, The New Stack, 24 Dec. 2019, https://thenewstack.io/how-the-u-s-air-force-deployed-kubernetes-and-istio-on-an-f-16-in-45-days/|Lake, Daniel R., The Pursuit of Technological Superiority and the Shrinking American Military (New York, NY: Palgrave MacMillan 2019). |Lavelle, Sean, ‘The Navy’s Kessel Run’, US Naval Institute, 3 Jan. 2019, https://blog.usni.org/posts/2019/01/03/the-navys-kessel-run|Leonard, Herman, et al., ‘SOFWERX: Innovation at US Special Operations Command’, Harvard Business School Case 819–004, Jul. 2018. (Open in a new window)Google Scholar|Lindsay, Jon R., Information Technology and Military Power (Ithaca, NY: Cornell UP 2020). |Lofgren, Eric, ‘The Future of Navy Software Development with Lt. Sean Lavelle,’ Acquisition Talk (1 Apr. 2020). Audio. (Open in a new window)Google Scholar|Lofgren, Eric, ‘The Last Frontier of Acquisition Reform: The Budget Process’, Conference Paper, Proceedings of the Seventeenth Annual Acquisition Research Symposium, 13-14 May 2020. Prepared for the Naval Postgraduate School, Monterey, CA. (Open in a new window)Google Scholar|Mabus, Ray, ‘Harnessing the Navy’s Culture of Innovation’, Naval Science and Technology Future Force Magazine, 7 Apr. 2015, https://futureforce.navylive.dodlive.mil/2015/04/harnessing-the-navys-culture-of-innovation/|Magnuson, Stew, ‘AUSA NEWS: Army Futures Command Breaking Down Barriers’, National Defense Magazine, 16 Oct. 2019, https://www.nationaldefensemagazine.org/articles/2019/10/16/army-futures-command-breaking-down-barriers|Mahnken, Thomas G., Technology and the American Way of War since 1945 (New York, NY: Columbia UP 2008). (Open in a new window)Google Scholar|Mansoor, Peter R. and Williamson Murray, (eds.), The Culture of Military Organizations (Cambridge: UK: Cambridge UP 2019). |Mayfield, Mandy, ‘Army Futures Command Establishes “Software Factory”’, National Defense Magazine, 21 Aug. 2020, https://www.nationaldefensemagazine.org/articles/2020/8/21/army-futures-command-establishes-software-factory|McCain, John, ‘Opening Statement by SASC Chairman John McCain at Hearing on DoD Nominations’, Office of Senator John McCain, 14 Nov. 2017, https://www.mccain.senate.gov/public/index.cfm/floor-statements?ID=05DCC73A-F9F2-44E8-A75F-236003222AF2|McQuade, J. Michael et al., ‘Software Is Never Done: Refactoring the Acquisition Code for Competitive Advantage’, Defense Innovation Board, 3 May 2019, https://media.defense.gov/2019/May/01/2002126690/-1/-1/0/SWAP%20EXECUTIVE%20SUMMARY.PDF|Miller, Jason, ‘Air Force’s game-changing approach to cloud accreditation, Federal News Network’, 30 Jul. 2020, https://federalnewsnetwork.com/ask-the-cio/2020/07/air-forces-game-changing-approach-to-cloud-accreditation/|Mori, Satoru, ‘US Defense Innovation and Artificial Intelligence’, Asia-Pacific Review 25/2 (2018), 16–44. DOI:10.1080/13439006.2018.1545488 |NavalXAgility, ‘Scaling Agility, Navy Doubles Tech Bridge Locations,’ 13 May 2020, https://www.navy.mil/submit/display.asp?story_id=112953|Neller, Robert B., ‘Strategy for Assured Command and Control: Enabling C2 for Tomorrow’s Marine Corps, Today’, US Marine Corps, Mar. 2017, https://www.hqmc.marines.mil/Portals/61/Marine_Corps_Strategy_for_Assured_Command_and_Control_March_2017.pdf?ver=2017-05-30-160731-940|Oakley, Shelby S., ‘Defense Acquisitions Annual Assessment: Drive to Deliver Capabilities Faster Increases Importance of Program Knowledge and Consistent Data for Oversight’, Government Accountability Office, Jun. 2020. https://www.gao.gov/assets/710/707359.pdf|Office of the Secretary of Defense, ‘National Defense Strategy of the United States of America: Sharpening the American Military’s Competitive Edge’, Jan. 2018. (Open in a new window)Google Scholar|Office of the Secretary of the Army, ‘Army Directive 2017–22 (Cross-functional Team Pilot in Support of Materiel Development’, 6 Oct. 2017. (Open in a new window)Google Scholar|Perez, Tony and Adam Welch, ‘AFWERX Spark’, in Brian Maue (ed..), Empowering Next Generation Innovators and Innovations (Arlington, VA: AFWERX 2020), 37–49. https://www.afwerx.af.mil/resources/AFWERX-Book.pdf|Pierce, Terry, ‘The Navy Needs a New Engine of Innovation’, Proceedings Magazine 144/11/1389 (Nov 2018). https://www.usni.org/magazines/proceedings/2018/november/navy-needs-new-engine-innovation|Pierce, Terry, Warfighting and Disruptive Technologies: Disguising Innovation (New York, NY: Frank Cass Publishers 2004). |Pomerleau, Mark, ‘Here’s What the Marines’ Information Command Centers Will Do’, C4ISR.net, 6 Dec. 2019, https://www.c4isrnet.com/information-warfare/2019/12/06/heres-what-the-marines-information-command-centers-will-do/|Pomerleau, Mark, ‘The Air Force Is All in on Software’, C4ISRnet, 12 Aug. 2019, https://www.c4isrnet.com/battlefield-tech/2019/08/12/the-air-force-is-all-in-on-software/|Posen, Barry R., ‘Foreward: Military Doctrine and the Management of Uncertainty’, Journal of Strategic Studies 39/2 (2016), 159–73. DOI:10.1080/01402390.2015.1115042 |Posen, Barry R., The Sources of Military Doctrine: France, Britain, and Germany between the World Wars (Ithaca, NY: Cornell UP 1986). (Open in a new window)Google Scholar|Raska, Michael, ‘The Sixth RMA Wave: Disruption in Military Affairs?’. Journal of Strategic Studies (2020), 1–24. DOI:10.1080/01402390.2020.1848818 |Richardson, John, ‘The Future Navy’, Office of the Chief of Naval Operations, 17 May 2017, https://admin.govexec.com/media/gbc/docs/pdfs_edit/futurenavyfinal.pdf|Roper, Will, ‘Take the Red Pill: _the New Digital Acquisition Reality’, Department of the Air Force, 15 Sept. 2020. (Open in a new window)Google Scholar|Rosen, Stephen Peter, Winning the Next War: Innovation and the Modern Military (Ithaca, NY: Cornell UP 1991). (Open in a new window)Google Scholar|Rosenberg, Barry, ‘Fail Fast, Not Twice: DoD’s Push for Agile Software Development’, Breaking Defense, 20 Jun. 2019, https://breakingdefense.com/2019/06/fail-fast-not-twice-dods-push-for-agile-software-development/|Sapolsky, Harvey M., Polaris System Development: Bureaucratic and Programmatic Success in Government (Cambridge, MA: Harvard UP 1972). |Schmidt, Eric, Robert Work, et al., ‘First Quarter Recommendations’, National Security Commission on Artificial Intelligence (March 2020). (Open in a new window)Google Scholar|Secretary of the Air Force Public Affairs, ‘Inaugural Air Force Pitch Day: New Contracts, New Partners’, 8 Mar. 2019, https://www.af.mil/News/Article-Display/Article/1779609/inaugural-air-force-pitch-day-new-contracts-new-partners/|South, Todd, ‘New Tech from Futures Command ‘Designed, Built, Tested with Soldiers’ to Get It There Faster’, Army Times, 20 Oct. 2019, https://www.armytimes.com/news/your-army/2019/10/21/new-tech-from-futures-command-designed-built-tested-with-soldiers-to-get-it-there-faster/|Spataro, Noah M., ‘FY2018 NIAC Consolidated Report: Lean Startup Approach to Capability Development: Evolving Small Batch Innovation for Dual-use Technologies’, Naval Innovation Advisory Council (1 August 2018). (Open in a new window)Google Scholar|Stavridis, James, ‘CNO’s Decision to Terminate Strategic Studies Group Is Smart — It Used to Be Good but Lately Was Fiddling Around’, Foreign Policy, 8 Apr. 2016, https://foreignpolicy.com/2016/04/08/cnos-decision-to-terminate-strategic-studies-group-is-smart-it-used-to-be-good-but-lately-was-fiddling-around/|Strout, Nathan, ‘The Marine Corps’ 4 Priorities in the Information Environment’, C4ISR.net, 6 Jan. 2020, https://www.c4isrnet.com/information-warfare/2020/01/06/the-marine-corps-4-priorities-in-the-information-environment/|</v>
      </c>
    </row>
    <row r="82" customFormat="false" ht="214.15" hidden="false" customHeight="false" outlineLevel="0" collapsed="false">
      <c r="A82" s="4" t="s">
        <v>170</v>
      </c>
      <c r="B82" s="3" t="s">
        <v>171</v>
      </c>
      <c r="C82" s="0" t="str">
        <f aca="false">B82&amp;"|"</f>
        <v>US Department of Defense, ‘Summary of the 2018 Department of Defense Artificial Intelligence Strategy: Harnessing AI to Advance Our Security and Prosperity’, 12 Feb. 2019, https://media.defense.gov/2019/Feb/12/2002088963/-1/-1/1/SUMMARY-OF-DOD-AI-STRATEGY.PDF|</v>
      </c>
      <c r="D82" s="0" t="str">
        <f aca="false">D81&amp;C82</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|Cote, Owen Reid, Jr., ‘The Politics of Innovative Military Doctrine: The US Navy and Fleet Ballistic Missiles’, Doctoral dissertation, Massachusetts Institute of Technology, Feb. 1996. (Open in a new window)Google Scholar|Cronin, Audrey Kurth, Power to the People: How Open Technological Innovation Is Arming Tomorrow’s Terrorists (Oxford: Oxford UP 2020). (Open in a new window)Google Scholar|Department of the Navy, ‘Unmanned Campaign Network’, 16 Mar. 2021, https://www.navy.mil/Portals/1/Strategic/20210315%20Unmanned%20Campaign_Final_LowRes.pdf?ver=LtCZ-BPlWki6vCBTdgtDMA%3D%3D|DiNapoli, Timothy J., ‘DOD’s Use of Other Transactions for Prototype Projects Has Increased’, Government Accountability Office GAO-20–84, Nov. 2019, https://www.gao.gov/assets/710/702861.pdf|Dunn, Richard L., ‘Other Transactions Contracts: Poorly Understood, Little Used’, National Defense Magazine, 15 May 2017, https://www.nationaldefensemagazine.org/articles/2017/5/15/other-transactions-contracts-poorly-understood-little-used|Easley, Matthew P., ‘Army Artificial Intelligence Task Force (AI-TF)’, US Army Futures Command (2019). https://www.clsac.org/uploads/5/0/6/3/50633811/2019-easley-aiml.pdf|Eckhardt, Jonathan T., Michael P. Ciuchta, and Mason Carpenter, ‘Open Innovation, Information, and Entrepreneurship within Platform Ecosystems’, Strategic Entrepreneurship Journal 12 (2018), 369–91. DOI:10.1002/sej.1298 |Eckstein, Megan, ‘Marine Corps Information Community Growing in Capability, Trying to Find Its Place in Joint Operations’, USNI News, 7 Jan. 2020, https://news.usni.org/2020/01/07/marine-corps-information-community-growing-in-capability-trying-to-find-its-place-in-joint-operations|Eversden, Andrew, ‘The Army AI Task Force Takes on Two ‘Key’ Projects’, C4ISRnet, 10 Jun. 2020, https://www.c4isrnet.com/artificial-intelligence/2020/06/10/the-army-ai-task-force-takes-on-two-key-projects/|Farrell, Theo, Sten Rynning, and Terry Terriff, Transforming Military Power since the Cold War: Britain, France, and the United States, 1991–2012 (Cambridge, UK: Cambridge UP 2013). |Feickert, Andrew and Brendan W. McGarry, ‘The Army’s Modernization Strategy: Congressional Oversight Considerations’, Congressional Research Service, 7 Feb. 2020, https://www.everycrsreport.com/files/20200207_R46216_444d93a212c95fd2fba1a596d520ca263a833307.pdf|Feickert, Andrew, ‘The Army’s Future Combat System (FCS): Background and Issues for Congress’, Congressional Research Services, 5 May 2006, https://www.everycrsreport.com/files/20060505_RL32888_bd0c5e4691669243ba6aacea43a6ce91c182246e.pdf|Fiott, Daniel, ‘A Revolution Too Far? US Defence Innovation, Europe and NATO’s Military-Technological Gap’, Journal of Strategic Studies 40/3 (2017), 417–37. DOI:10.1080/01402390.2016.1176565 |Gansler, Jacques, Democracy’s Arsenal: Creating a Twenty-First Century Defense Industry (Cambridge, MA: MIT UP 2011). |Geurts, James F., ‘The Department of the Navy Fiscal Year 2020 Budget Request for Science and Technology Programs’, House Armed Services Committee, 28 Mar. 2019. https://armedservices.house.gov/_cache/files/c/4/c46d8d7f-cade-4487-bae0-f87943aa205e/5AD8EA25BA971C25EF67C083034A43F2.hhrg-116-as26-wstate-geurtsj-20190328.pdf|Gilli, Andrea and Mauro Gilli, ‘Why China Has Not Caught Up Yet: Military-Technological Superiority and the Limits of Imitation, Reverse Engineering, and Cyber Espionage’, International Security 43/3 ( Winter 2018/19), 141–89. DOI:10.1162/isec_a_00337 |Glavy, Matthew G. and Brett Goldstein, ‘The Battle for Mon Cala: Getting the Military to Deliver Its Own Tech Solutions’, War On The Rocks, 20 Aug. 2020, https://warontherocks.com/2020/08/the-battle-for-mon-cala-getting-the-military-to-deliver-its-own-tech-solutions/|Griffin, Stuart, ‘Military Innovation Studies: Multidisciplinary or Lacking Discipline?’, Journal of Strategic Studies 40/1/2 (2016), 196–224. DOI:10.1080/01402390.2016.1196358 |Grissom, Andrew, ‘The Future of Military Innovation Studies’, Journal of Strategic Studies 29/5 (Oct. 2006), 905–34. DOI:10.1080/01402390600901067. |Haduch, Thomas W., ‘Maintaining the US Army Research, Development and Engineering Command Prototype Integration Facilities’, Defense Acquisition University Press. May 2014, https://www.dau.edu/training/career-development/sscf/Documents/T.%20HaduchSSCF2014SRPOPSECFINAL.pdf|Harper, Jon, ‘Army to Release New Wish List for Optionally Manned Fighting Vehicle’, National Defense Magazine, 19 Feb. 2020, https://www.nationaldefensemagazine.org/articles/2020/2/19/army-to-release-new-wish-list-for-optionally-manned-fighting-vehicle|Horowitz, Michael C., The Diffusion of Military Power: Causes and Consequences for International Politics (Princeton, NJ: Princeton UP 2010). |Horowitz, Michael, ‘Artificial Intelligence, International Competition, and the Balance of Power’, Texas National Security Review 1/3 (May 2018), 36–57. https://tnsr.org/2018/05/artificial-intelligence-international-competition-and-the-balance-of-power/|Kaeser, Hans Ulrich, ‘The Future Combat System: What Future Can The Army Afford?’, Center for Strategic and International Studies, 5 Feb. 2009. Working draft, https://csis-website-prod.s3.amazonaws.com/s3fs-public/legacy_files/files/media/csis/pubs/090205_fcsarmy.pdf|Kenyon, Henry, ‘Rapid App Response: Marines to Embed Development Teams with Deployed Units’, GCN, 6 Feb. 2012, https://gcn.com/articles/2012/02/06/marine-corps-apps-embedded-development-teams.aspx|Kleinholz, Joshua, ‘AFwerX Vegas Opens New Doors to Innovation’, Air Combat Command, 23 Aug. 2017, https://www.acc.af.mil/News/Article-Display/Article/1288094/afwerx-vegas-opens-new-doors-to-innovation/|Kollars, Nina A., ‘War’s Horizon: Soldier-Led Adaptation in Iraq and Vietnam’, Journal of Strategic Studies 38/4 (2015), 529–53. DOI:10.1080/01402390.2014.971947 |Krazit, Tom, ‘How the US Air Force Deployed Kubernetes and Istio on an F-16 in 45 Days’, The New Stack, 24 Dec. 2019, https://thenewstack.io/how-the-u-s-air-force-deployed-kubernetes-and-istio-on-an-f-16-in-45-days/|Lake, Daniel R., The Pursuit of Technological Superiority and the Shrinking American Military (New York, NY: Palgrave MacMillan 2019). |Lavelle, Sean, ‘The Navy’s Kessel Run’, US Naval Institute, 3 Jan. 2019, https://blog.usni.org/posts/2019/01/03/the-navys-kessel-run|Leonard, Herman, et al., ‘SOFWERX: Innovation at US Special Operations Command’, Harvard Business School Case 819–004, Jul. 2018. (Open in a new window)Google Scholar|Lindsay, Jon R., Information Technology and Military Power (Ithaca, NY: Cornell UP 2020). |Lofgren, Eric, ‘The Future of Navy Software Development with Lt. Sean Lavelle,’ Acquisition Talk (1 Apr. 2020). Audio. (Open in a new window)Google Scholar|Lofgren, Eric, ‘The Last Frontier of Acquisition Reform: The Budget Process’, Conference Paper, Proceedings of the Seventeenth Annual Acquisition Research Symposium, 13-14 May 2020. Prepared for the Naval Postgraduate School, Monterey, CA. (Open in a new window)Google Scholar|Mabus, Ray, ‘Harnessing the Navy’s Culture of Innovation’, Naval Science and Technology Future Force Magazine, 7 Apr. 2015, https://futureforce.navylive.dodlive.mil/2015/04/harnessing-the-navys-culture-of-innovation/|Magnuson, Stew, ‘AUSA NEWS: Army Futures Command Breaking Down Barriers’, National Defense Magazine, 16 Oct. 2019, https://www.nationaldefensemagazine.org/articles/2019/10/16/army-futures-command-breaking-down-barriers|Mahnken, Thomas G., Technology and the American Way of War since 1945 (New York, NY: Columbia UP 2008). (Open in a new window)Google Scholar|Mansoor, Peter R. and Williamson Murray, (eds.), The Culture of Military Organizations (Cambridge: UK: Cambridge UP 2019). |Mayfield, Mandy, ‘Army Futures Command Establishes “Software Factory”’, National Defense Magazine, 21 Aug. 2020, https://www.nationaldefensemagazine.org/articles/2020/8/21/army-futures-command-establishes-software-factory|McCain, John, ‘Opening Statement by SASC Chairman John McCain at Hearing on DoD Nominations’, Office of Senator John McCain, 14 Nov. 2017, https://www.mccain.senate.gov/public/index.cfm/floor-statements?ID=05DCC73A-F9F2-44E8-A75F-236003222AF2|McQuade, J. Michael et al., ‘Software Is Never Done: Refactoring the Acquisition Code for Competitive Advantage’, Defense Innovation Board, 3 May 2019, https://media.defense.gov/2019/May/01/2002126690/-1/-1/0/SWAP%20EXECUTIVE%20SUMMARY.PDF|Miller, Jason, ‘Air Force’s game-changing approach to cloud accreditation, Federal News Network’, 30 Jul. 2020, https://federalnewsnetwork.com/ask-the-cio/2020/07/air-forces-game-changing-approach-to-cloud-accreditation/|Mori, Satoru, ‘US Defense Innovation and Artificial Intelligence’, Asia-Pacific Review 25/2 (2018), 16–44. DOI:10.1080/13439006.2018.1545488 |NavalXAgility, ‘Scaling Agility, Navy Doubles Tech Bridge Locations,’ 13 May 2020, https://www.navy.mil/submit/display.asp?story_id=112953|Neller, Robert B., ‘Strategy for Assured Command and Control: Enabling C2 for Tomorrow’s Marine Corps, Today’, US Marine Corps, Mar. 2017, https://www.hqmc.marines.mil/Portals/61/Marine_Corps_Strategy_for_Assured_Command_and_Control_March_2017.pdf?ver=2017-05-30-160731-940|Oakley, Shelby S., ‘Defense Acquisitions Annual Assessment: Drive to Deliver Capabilities Faster Increases Importance of Program Knowledge and Consistent Data for Oversight’, Government Accountability Office, Jun. 2020. https://www.gao.gov/assets/710/707359.pdf|Office of the Secretary of Defense, ‘National Defense Strategy of the United States of America: Sharpening the American Military’s Competitive Edge’, Jan. 2018. (Open in a new window)Google Scholar|Office of the Secretary of the Army, ‘Army Directive 2017–22 (Cross-functional Team Pilot in Support of Materiel Development’, 6 Oct. 2017. (Open in a new window)Google Scholar|Perez, Tony and Adam Welch, ‘AFWERX Spark’, in Brian Maue (ed..), Empowering Next Generation Innovators and Innovations (Arlington, VA: AFWERX 2020), 37–49. https://www.afwerx.af.mil/resources/AFWERX-Book.pdf|Pierce, Terry, ‘The Navy Needs a New Engine of Innovation’, Proceedings Magazine 144/11/1389 (Nov 2018). https://www.usni.org/magazines/proceedings/2018/november/navy-needs-new-engine-innovation|Pierce, Terry, Warfighting and Disruptive Technologies: Disguising Innovation (New York, NY: Frank Cass Publishers 2004). |Pomerleau, Mark, ‘Here’s What the Marines’ Information Command Centers Will Do’, C4ISR.net, 6 Dec. 2019, https://www.c4isrnet.com/information-warfare/2019/12/06/heres-what-the-marines-information-command-centers-will-do/|Pomerleau, Mark, ‘The Air Force Is All in on Software’, C4ISRnet, 12 Aug. 2019, https://www.c4isrnet.com/battlefield-tech/2019/08/12/the-air-force-is-all-in-on-software/|Posen, Barry R., ‘Foreward: Military Doctrine and the Management of Uncertainty’, Journal of Strategic Studies 39/2 (2016), 159–73. DOI:10.1080/01402390.2015.1115042 |Posen, Barry R., The Sources of Military Doctrine: France, Britain, and Germany between the World Wars (Ithaca, NY: Cornell UP 1986). (Open in a new window)Google Scholar|Raska, Michael, ‘The Sixth RMA Wave: Disruption in Military Affairs?’. Journal of Strategic Studies (2020), 1–24. DOI:10.1080/01402390.2020.1848818 |Richardson, John, ‘The Future Navy’, Office of the Chief of Naval Operations, 17 May 2017, https://admin.govexec.com/media/gbc/docs/pdfs_edit/futurenavyfinal.pdf|Roper, Will, ‘Take the Red Pill: _the New Digital Acquisition Reality’, Department of the Air Force, 15 Sept. 2020. (Open in a new window)Google Scholar|Rosen, Stephen Peter, Winning the Next War: Innovation and the Modern Military (Ithaca, NY: Cornell UP 1991). (Open in a new window)Google Scholar|Rosenberg, Barry, ‘Fail Fast, Not Twice: DoD’s Push for Agile Software Development’, Breaking Defense, 20 Jun. 2019, https://breakingdefense.com/2019/06/fail-fast-not-twice-dods-push-for-agile-software-development/|Sapolsky, Harvey M., Polaris System Development: Bureaucratic and Programmatic Success in Government (Cambridge, MA: Harvard UP 1972). |Schmidt, Eric, Robert Work, et al., ‘First Quarter Recommendations’, National Security Commission on Artificial Intelligence (March 2020). (Open in a new window)Google Scholar|Secretary of the Air Force Public Affairs, ‘Inaugural Air Force Pitch Day: New Contracts, New Partners’, 8 Mar. 2019, https://www.af.mil/News/Article-Display/Article/1779609/inaugural-air-force-pitch-day-new-contracts-new-partners/|South, Todd, ‘New Tech from Futures Command ‘Designed, Built, Tested with Soldiers’ to Get It There Faster’, Army Times, 20 Oct. 2019, https://www.armytimes.com/news/your-army/2019/10/21/new-tech-from-futures-command-designed-built-tested-with-soldiers-to-get-it-there-faster/|Spataro, Noah M., ‘FY2018 NIAC Consolidated Report: Lean Startup Approach to Capability Development: Evolving Small Batch Innovation for Dual-use Technologies’, Naval Innovation Advisory Council (1 August 2018). (Open in a new window)Google Scholar|Stavridis, James, ‘CNO’s Decision to Terminate Strategic Studies Group Is Smart — It Used to Be Good but Lately Was Fiddling Around’, Foreign Policy, 8 Apr. 2016, https://foreignpolicy.com/2016/04/08/cnos-decision-to-terminate-strategic-studies-group-is-smart-it-used-to-be-good-but-lately-was-fiddling-around/|Strout, Nathan, ‘The Marine Corps’ 4 Priorities in the Information Environment’, C4ISR.net, 6 Jan. 2020, https://www.c4isrnet.com/information-warfare/2020/01/06/the-marine-corps-4-priorities-in-the-information-environment/|US Department of Defense, ‘Summary of the 2018 Department of Defense Artificial Intelligence Strategy: Harnessing AI to Advance Our Security and Prosperity’, 12 Feb. 2019, https://media.defense.gov/2019/Feb/12/2002088963/-1/-1/1/SUMMARY-OF-DOD-AI-STRATEGY.PDF|</v>
      </c>
    </row>
    <row r="83" customFormat="false" ht="169.4" hidden="false" customHeight="false" outlineLevel="0" collapsed="false">
      <c r="A83" s="4" t="s">
        <v>172</v>
      </c>
      <c r="B83" s="3" t="s">
        <v>173</v>
      </c>
      <c r="C83" s="0" t="str">
        <f aca="false">B83&amp;"|"</f>
        <v>Westbrook, Chris and Kathryn Bailey, ‘New Faces and New Tech Provide the Right Mix of Know-how and Speed’, US Army, 18 Jun. 2020, https://www.army.mil/article/236576/new_faces_and_new_tech_provide_the_right_mix_of_know_how_and_speed|</v>
      </c>
      <c r="D83" s="0" t="str">
        <f aca="false">D82&amp;C83</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|Cote, Owen Reid, Jr., ‘The Politics of Innovative Military Doctrine: The US Navy and Fleet Ballistic Missiles’, Doctoral dissertation, Massachusetts Institute of Technology, Feb. 1996. (Open in a new window)Google Scholar|Cronin, Audrey Kurth, Power to the People: How Open Technological Innovation Is Arming Tomorrow’s Terrorists (Oxford: Oxford UP 2020). (Open in a new window)Google Scholar|Department of the Navy, ‘Unmanned Campaign Network’, 16 Mar. 2021, https://www.navy.mil/Portals/1/Strategic/20210315%20Unmanned%20Campaign_Final_LowRes.pdf?ver=LtCZ-BPlWki6vCBTdgtDMA%3D%3D|DiNapoli, Timothy J., ‘DOD’s Use of Other Transactions for Prototype Projects Has Increased’, Government Accountability Office GAO-20–84, Nov. 2019, https://www.gao.gov/assets/710/702861.pdf|Dunn, Richard L., ‘Other Transactions Contracts: Poorly Understood, Little Used’, National Defense Magazine, 15 May 2017, https://www.nationaldefensemagazine.org/articles/2017/5/15/other-transactions-contracts-poorly-understood-little-used|Easley, Matthew P., ‘Army Artificial Intelligence Task Force (AI-TF)’, US Army Futures Command (2019). https://www.clsac.org/uploads/5/0/6/3/50633811/2019-easley-aiml.pdf|Eckhardt, Jonathan T., Michael P. Ciuchta, and Mason Carpenter, ‘Open Innovation, Information, and Entrepreneurship within Platform Ecosystems’, Strategic Entrepreneurship Journal 12 (2018), 369–91. DOI:10.1002/sej.1298 |Eckstein, Megan, ‘Marine Corps Information Community Growing in Capability, Trying to Find Its Place in Joint Operations’, USNI News, 7 Jan. 2020, https://news.usni.org/2020/01/07/marine-corps-information-community-growing-in-capability-trying-to-find-its-place-in-joint-operations|Eversden, Andrew, ‘The Army AI Task Force Takes on Two ‘Key’ Projects’, C4ISRnet, 10 Jun. 2020, https://www.c4isrnet.com/artificial-intelligence/2020/06/10/the-army-ai-task-force-takes-on-two-key-projects/|Farrell, Theo, Sten Rynning, and Terry Terriff, Transforming Military Power since the Cold War: Britain, France, and the United States, 1991–2012 (Cambridge, UK: Cambridge UP 2013). |Feickert, Andrew and Brendan W. McGarry, ‘The Army’s Modernization Strategy: Congressional Oversight Considerations’, Congressional Research Service, 7 Feb. 2020, https://www.everycrsreport.com/files/20200207_R46216_444d93a212c95fd2fba1a596d520ca263a833307.pdf|Feickert, Andrew, ‘The Army’s Future Combat System (FCS): Background and Issues for Congress’, Congressional Research Services, 5 May 2006, https://www.everycrsreport.com/files/20060505_RL32888_bd0c5e4691669243ba6aacea43a6ce91c182246e.pdf|Fiott, Daniel, ‘A Revolution Too Far? US Defence Innovation, Europe and NATO’s Military-Technological Gap’, Journal of Strategic Studies 40/3 (2017), 417–37. DOI:10.1080/01402390.2016.1176565 |Gansler, Jacques, Democracy’s Arsenal: Creating a Twenty-First Century Defense Industry (Cambridge, MA: MIT UP 2011). |Geurts, James F., ‘The Department of the Navy Fiscal Year 2020 Budget Request for Science and Technology Programs’, House Armed Services Committee, 28 Mar. 2019. https://armedservices.house.gov/_cache/files/c/4/c46d8d7f-cade-4487-bae0-f87943aa205e/5AD8EA25BA971C25EF67C083034A43F2.hhrg-116-as26-wstate-geurtsj-20190328.pdf|Gilli, Andrea and Mauro Gilli, ‘Why China Has Not Caught Up Yet: Military-Technological Superiority and the Limits of Imitation, Reverse Engineering, and Cyber Espionage’, International Security 43/3 ( Winter 2018/19), 141–89. DOI:10.1162/isec_a_00337 |Glavy, Matthew G. and Brett Goldstein, ‘The Battle for Mon Cala: Getting the Military to Deliver Its Own Tech Solutions’, War On The Rocks, 20 Aug. 2020, https://warontherocks.com/2020/08/the-battle-for-mon-cala-getting-the-military-to-deliver-its-own-tech-solutions/|Griffin, Stuart, ‘Military Innovation Studies: Multidisciplinary or Lacking Discipline?’, Journal of Strategic Studies 40/1/2 (2016), 196–224. DOI:10.1080/01402390.2016.1196358 |Grissom, Andrew, ‘The Future of Military Innovation Studies’, Journal of Strategic Studies 29/5 (Oct. 2006), 905–34. DOI:10.1080/01402390600901067. |Haduch, Thomas W., ‘Maintaining the US Army Research, Development and Engineering Command Prototype Integration Facilities’, Defense Acquisition University Press. May 2014, https://www.dau.edu/training/career-development/sscf/Documents/T.%20HaduchSSCF2014SRPOPSECFINAL.pdf|Harper, Jon, ‘Army to Release New Wish List for Optionally Manned Fighting Vehicle’, National Defense Magazine, 19 Feb. 2020, https://www.nationaldefensemagazine.org/articles/2020/2/19/army-to-release-new-wish-list-for-optionally-manned-fighting-vehicle|Horowitz, Michael C., The Diffusion of Military Power: Causes and Consequences for International Politics (Princeton, NJ: Princeton UP 2010). |Horowitz, Michael, ‘Artificial Intelligence, International Competition, and the Balance of Power’, Texas National Security Review 1/3 (May 2018), 36–57. https://tnsr.org/2018/05/artificial-intelligence-international-competition-and-the-balance-of-power/|Kaeser, Hans Ulrich, ‘The Future Combat System: What Future Can The Army Afford?’, Center for Strategic and International Studies, 5 Feb. 2009. Working draft, https://csis-website-prod.s3.amazonaws.com/s3fs-public/legacy_files/files/media/csis/pubs/090205_fcsarmy.pdf|Kenyon, Henry, ‘Rapid App Response: Marines to Embed Development Teams with Deployed Units’, GCN, 6 Feb. 2012, https://gcn.com/articles/2012/02/06/marine-corps-apps-embedded-development-teams.aspx|Kleinholz, Joshua, ‘AFwerX Vegas Opens New Doors to Innovation’, Air Combat Command, 23 Aug. 2017, https://www.acc.af.mil/News/Article-Display/Article/1288094/afwerx-vegas-opens-new-doors-to-innovation/|Kollars, Nina A., ‘War’s Horizon: Soldier-Led Adaptation in Iraq and Vietnam’, Journal of Strategic Studies 38/4 (2015), 529–53. DOI:10.1080/01402390.2014.971947 |Krazit, Tom, ‘How the US Air Force Deployed Kubernetes and Istio on an F-16 in 45 Days’, The New Stack, 24 Dec. 2019, https://thenewstack.io/how-the-u-s-air-force-deployed-kubernetes-and-istio-on-an-f-16-in-45-days/|Lake, Daniel R., The Pursuit of Technological Superiority and the Shrinking American Military (New York, NY: Palgrave MacMillan 2019). |Lavelle, Sean, ‘The Navy’s Kessel Run’, US Naval Institute, 3 Jan. 2019, https://blog.usni.org/posts/2019/01/03/the-navys-kessel-run|Leonard, Herman, et al., ‘SOFWERX: Innovation at US Special Operations Command’, Harvard Business School Case 819–004, Jul. 2018. (Open in a new window)Google Scholar|Lindsay, Jon R., Information Technology and Military Power (Ithaca, NY: Cornell UP 2020). |Lofgren, Eric, ‘The Future of Navy Software Development with Lt. Sean Lavelle,’ Acquisition Talk (1 Apr. 2020). Audio. (Open in a new window)Google Scholar|Lofgren, Eric, ‘The Last Frontier of Acquisition Reform: The Budget Process’, Conference Paper, Proceedings of the Seventeenth Annual Acquisition Research Symposium, 13-14 May 2020. Prepared for the Naval Postgraduate School, Monterey, CA. (Open in a new window)Google Scholar|Mabus, Ray, ‘Harnessing the Navy’s Culture of Innovation’, Naval Science and Technology Future Force Magazine, 7 Apr. 2015, https://futureforce.navylive.dodlive.mil/2015/04/harnessing-the-navys-culture-of-innovation/|Magnuson, Stew, ‘AUSA NEWS: Army Futures Command Breaking Down Barriers’, National Defense Magazine, 16 Oct. 2019, https://www.nationaldefensemagazine.org/articles/2019/10/16/army-futures-command-breaking-down-barriers|Mahnken, Thomas G., Technology and the American Way of War since 1945 (New York, NY: Columbia UP 2008). (Open in a new window)Google Scholar|Mansoor, Peter R. and Williamson Murray, (eds.), The Culture of Military Organizations (Cambridge: UK: Cambridge UP 2019). |Mayfield, Mandy, ‘Army Futures Command Establishes “Software Factory”’, National Defense Magazine, 21 Aug. 2020, https://www.nationaldefensemagazine.org/articles/2020/8/21/army-futures-command-establishes-software-factory|McCain, John, ‘Opening Statement by SASC Chairman John McCain at Hearing on DoD Nominations’, Office of Senator John McCain, 14 Nov. 2017, https://www.mccain.senate.gov/public/index.cfm/floor-statements?ID=05DCC73A-F9F2-44E8-A75F-236003222AF2|McQuade, J. Michael et al., ‘Software Is Never Done: Refactoring the Acquisition Code for Competitive Advantage’, Defense Innovation Board, 3 May 2019, https://media.defense.gov/2019/May/01/2002126690/-1/-1/0/SWAP%20EXECUTIVE%20SUMMARY.PDF|Miller, Jason, ‘Air Force’s game-changing approach to cloud accreditation, Federal News Network’, 30 Jul. 2020, https://federalnewsnetwork.com/ask-the-cio/2020/07/air-forces-game-changing-approach-to-cloud-accreditation/|Mori, Satoru, ‘US Defense Innovation and Artificial Intelligence’, Asia-Pacific Review 25/2 (2018), 16–44. DOI:10.1080/13439006.2018.1545488 |NavalXAgility, ‘Scaling Agility, Navy Doubles Tech Bridge Locations,’ 13 May 2020, https://www.navy.mil/submit/display.asp?story_id=112953|Neller, Robert B., ‘Strategy for Assured Command and Control: Enabling C2 for Tomorrow’s Marine Corps, Today’, US Marine Corps, Mar. 2017, https://www.hqmc.marines.mil/Portals/61/Marine_Corps_Strategy_for_Assured_Command_and_Control_March_2017.pdf?ver=2017-05-30-160731-940|Oakley, Shelby S., ‘Defense Acquisitions Annual Assessment: Drive to Deliver Capabilities Faster Increases Importance of Program Knowledge and Consistent Data for Oversight’, Government Accountability Office, Jun. 2020. https://www.gao.gov/assets/710/707359.pdf|Office of the Secretary of Defense, ‘National Defense Strategy of the United States of America: Sharpening the American Military’s Competitive Edge’, Jan. 2018. (Open in a new window)Google Scholar|Office of the Secretary of the Army, ‘Army Directive 2017–22 (Cross-functional Team Pilot in Support of Materiel Development’, 6 Oct. 2017. (Open in a new window)Google Scholar|Perez, Tony and Adam Welch, ‘AFWERX Spark’, in Brian Maue (ed..), Empowering Next Generation Innovators and Innovations (Arlington, VA: AFWERX 2020), 37–49. https://www.afwerx.af.mil/resources/AFWERX-Book.pdf|Pierce, Terry, ‘The Navy Needs a New Engine of Innovation’, Proceedings Magazine 144/11/1389 (Nov 2018). https://www.usni.org/magazines/proceedings/2018/november/navy-needs-new-engine-innovation|Pierce, Terry, Warfighting and Disruptive Technologies: Disguising Innovation (New York, NY: Frank Cass Publishers 2004). |Pomerleau, Mark, ‘Here’s What the Marines’ Information Command Centers Will Do’, C4ISR.net, 6 Dec. 2019, https://www.c4isrnet.com/information-warfare/2019/12/06/heres-what-the-marines-information-command-centers-will-do/|Pomerleau, Mark, ‘The Air Force Is All in on Software’, C4ISRnet, 12 Aug. 2019, https://www.c4isrnet.com/battlefield-tech/2019/08/12/the-air-force-is-all-in-on-software/|Posen, Barry R., ‘Foreward: Military Doctrine and the Management of Uncertainty’, Journal of Strategic Studies 39/2 (2016), 159–73. DOI:10.1080/01402390.2015.1115042 |Posen, Barry R., The Sources of Military Doctrine: France, Britain, and Germany between the World Wars (Ithaca, NY: Cornell UP 1986). (Open in a new window)Google Scholar|Raska, Michael, ‘The Sixth RMA Wave: Disruption in Military Affairs?’. Journal of Strategic Studies (2020), 1–24. DOI:10.1080/01402390.2020.1848818 |Richardson, John, ‘The Future Navy’, Office of the Chief of Naval Operations, 17 May 2017, https://admin.govexec.com/media/gbc/docs/pdfs_edit/futurenavyfinal.pdf|Roper, Will, ‘Take the Red Pill: _the New Digital Acquisition Reality’, Department of the Air Force, 15 Sept. 2020. (Open in a new window)Google Scholar|Rosen, Stephen Peter, Winning the Next War: Innovation and the Modern Military (Ithaca, NY: Cornell UP 1991). (Open in a new window)Google Scholar|Rosenberg, Barry, ‘Fail Fast, Not Twice: DoD’s Push for Agile Software Development’, Breaking Defense, 20 Jun. 2019, https://breakingdefense.com/2019/06/fail-fast-not-twice-dods-push-for-agile-software-development/|Sapolsky, Harvey M., Polaris System Development: Bureaucratic and Programmatic Success in Government (Cambridge, MA: Harvard UP 1972). |Schmidt, Eric, Robert Work, et al., ‘First Quarter Recommendations’, National Security Commission on Artificial Intelligence (March 2020). (Open in a new window)Google Scholar|Secretary of the Air Force Public Affairs, ‘Inaugural Air Force Pitch Day: New Contracts, New Partners’, 8 Mar. 2019, https://www.af.mil/News/Article-Display/Article/1779609/inaugural-air-force-pitch-day-new-contracts-new-partners/|South, Todd, ‘New Tech from Futures Command ‘Designed, Built, Tested with Soldiers’ to Get It There Faster’, Army Times, 20 Oct. 2019, https://www.armytimes.com/news/your-army/2019/10/21/new-tech-from-futures-command-designed-built-tested-with-soldiers-to-get-it-there-faster/|Spataro, Noah M., ‘FY2018 NIAC Consolidated Report: Lean Startup Approach to Capability Development: Evolving Small Batch Innovation for Dual-use Technologies’, Naval Innovation Advisory Council (1 August 2018). (Open in a new window)Google Scholar|Stavridis, James, ‘CNO’s Decision to Terminate Strategic Studies Group Is Smart — It Used to Be Good but Lately Was Fiddling Around’, Foreign Policy, 8 Apr. 2016, https://foreignpolicy.com/2016/04/08/cnos-decision-to-terminate-strategic-studies-group-is-smart-it-used-to-be-good-but-lately-was-fiddling-around/|Strout, Nathan, ‘The Marine Corps’ 4 Priorities in the Information Environment’, C4ISR.net, 6 Jan. 2020, https://www.c4isrnet.com/information-warfare/2020/01/06/the-marine-corps-4-priorities-in-the-information-environment/|US Department of Defense, ‘Summary of the 2018 Department of Defense Artificial Intelligence Strategy: Harnessing AI to Advance Our Security and Prosperity’, 12 Feb. 2019, https://media.defense.gov/2019/Feb/12/2002088963/-1/-1/1/SUMMARY-OF-DOD-AI-STRATEGY.PDF|Westbrook, Chris and Kathryn Bailey, ‘New Faces and New Tech Provide the Right Mix of Know-how and Speed’, US Army, 18 Jun. 2020, https://www.army.mil/article/236576/new_faces_and_new_tech_provide_the_right_mix_of_know_how_and_speed|</v>
      </c>
    </row>
    <row r="84" customFormat="false" ht="135.8" hidden="false" customHeight="false" outlineLevel="0" collapsed="false">
      <c r="A84" s="4" t="s">
        <v>174</v>
      </c>
      <c r="B84" s="3" t="s">
        <v>175</v>
      </c>
      <c r="C84" s="0" t="str">
        <f aca="false">B84&amp;"|"</f>
        <v>Williams, Lauren C., ‘Gilday Outlines IT Vision for Navy Systems’, FCW, 31 Jul. 2019, https://fcw.com/articles/2019/07/31/gilday-confirmation-cyber-it.aspx|</v>
      </c>
      <c r="D84" s="0" t="str">
        <f aca="false">D83&amp;C84</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|Cote, Owen Reid, Jr., ‘The Politics of Innovative Military Doctrine: The US Navy and Fleet Ballistic Missiles’, Doctoral dissertation, Massachusetts Institute of Technology, Feb. 1996. (Open in a new window)Google Scholar|Cronin, Audrey Kurth, Power to the People: How Open Technological Innovation Is Arming Tomorrow’s Terrorists (Oxford: Oxford UP 2020). (Open in a new window)Google Scholar|Department of the Navy, ‘Unmanned Campaign Network’, 16 Mar. 2021, https://www.navy.mil/Portals/1/Strategic/20210315%20Unmanned%20Campaign_Final_LowRes.pdf?ver=LtCZ-BPlWki6vCBTdgtDMA%3D%3D|DiNapoli, Timothy J., ‘DOD’s Use of Other Transactions for Prototype Projects Has Increased’, Government Accountability Office GAO-20–84, Nov. 2019, https://www.gao.gov/assets/710/702861.pdf|Dunn, Richard L., ‘Other Transactions Contracts: Poorly Understood, Little Used’, National Defense Magazine, 15 May 2017, https://www.nationaldefensemagazine.org/articles/2017/5/15/other-transactions-contracts-poorly-understood-little-used|Easley, Matthew P., ‘Army Artificial Intelligence Task Force (AI-TF)’, US Army Futures Command (2019). https://www.clsac.org/uploads/5/0/6/3/50633811/2019-easley-aiml.pdf|Eckhardt, Jonathan T., Michael P. Ciuchta, and Mason Carpenter, ‘Open Innovation, Information, and Entrepreneurship within Platform Ecosystems’, Strategic Entrepreneurship Journal 12 (2018), 369–91. DOI:10.1002/sej.1298 |Eckstein, Megan, ‘Marine Corps Information Community Growing in Capability, Trying to Find Its Place in Joint Operations’, USNI News, 7 Jan. 2020, https://news.usni.org/2020/01/07/marine-corps-information-community-growing-in-capability-trying-to-find-its-place-in-joint-operations|Eversden, Andrew, ‘The Army AI Task Force Takes on Two ‘Key’ Projects’, C4ISRnet, 10 Jun. 2020, https://www.c4isrnet.com/artificial-intelligence/2020/06/10/the-army-ai-task-force-takes-on-two-key-projects/|Farrell, Theo, Sten Rynning, and Terry Terriff, Transforming Military Power since the Cold War: Britain, France, and the United States, 1991–2012 (Cambridge, UK: Cambridge UP 2013). |Feickert, Andrew and Brendan W. McGarry, ‘The Army’s Modernization Strategy: Congressional Oversight Considerations’, Congressional Research Service, 7 Feb. 2020, https://www.everycrsreport.com/files/20200207_R46216_444d93a212c95fd2fba1a596d520ca263a833307.pdf|Feickert, Andrew, ‘The Army’s Future Combat System (FCS): Background and Issues for Congress’, Congressional Research Services, 5 May 2006, https://www.everycrsreport.com/files/20060505_RL32888_bd0c5e4691669243ba6aacea43a6ce91c182246e.pdf|Fiott, Daniel, ‘A Revolution Too Far? US Defence Innovation, Europe and NATO’s Military-Technological Gap’, Journal of Strategic Studies 40/3 (2017), 417–37. DOI:10.1080/01402390.2016.1176565 |Gansler, Jacques, Democracy’s Arsenal: Creating a Twenty-First Century Defense Industry (Cambridge, MA: MIT UP 2011). |Geurts, James F., ‘The Department of the Navy Fiscal Year 2020 Budget Request for Science and Technology Programs’, House Armed Services Committee, 28 Mar. 2019. https://armedservices.house.gov/_cache/files/c/4/c46d8d7f-cade-4487-bae0-f87943aa205e/5AD8EA25BA971C25EF67C083034A43F2.hhrg-116-as26-wstate-geurtsj-20190328.pdf|Gilli, Andrea and Mauro Gilli, ‘Why China Has Not Caught Up Yet: Military-Technological Superiority and the Limits of Imitation, Reverse Engineering, and Cyber Espionage’, International Security 43/3 ( Winter 2018/19), 141–89. DOI:10.1162/isec_a_00337 |Glavy, Matthew G. and Brett Goldstein, ‘The Battle for Mon Cala: Getting the Military to Deliver Its Own Tech Solutions’, War On The Rocks, 20 Aug. 2020, https://warontherocks.com/2020/08/the-battle-for-mon-cala-getting-the-military-to-deliver-its-own-tech-solutions/|Griffin, Stuart, ‘Military Innovation Studies: Multidisciplinary or Lacking Discipline?’, Journal of Strategic Studies 40/1/2 (2016), 196–224. DOI:10.1080/01402390.2016.1196358 |Grissom, Andrew, ‘The Future of Military Innovation Studies’, Journal of Strategic Studies 29/5 (Oct. 2006), 905–34. DOI:10.1080/01402390600901067. |Haduch, Thomas W., ‘Maintaining the US Army Research, Development and Engineering Command Prototype Integration Facilities’, Defense Acquisition University Press. May 2014, https://www.dau.edu/training/career-development/sscf/Documents/T.%20HaduchSSCF2014SRPOPSECFINAL.pdf|Harper, Jon, ‘Army to Release New Wish List for Optionally Manned Fighting Vehicle’, National Defense Magazine, 19 Feb. 2020, https://www.nationaldefensemagazine.org/articles/2020/2/19/army-to-release-new-wish-list-for-optionally-manned-fighting-vehicle|Horowitz, Michael C., The Diffusion of Military Power: Causes and Consequences for International Politics (Princeton, NJ: Princeton UP 2010). |Horowitz, Michael, ‘Artificial Intelligence, International Competition, and the Balance of Power’, Texas National Security Review 1/3 (May 2018), 36–57. https://tnsr.org/2018/05/artificial-intelligence-international-competition-and-the-balance-of-power/|Kaeser, Hans Ulrich, ‘The Future Combat System: What Future Can The Army Afford?’, Center for Strategic and International Studies, 5 Feb. 2009. Working draft, https://csis-website-prod.s3.amazonaws.com/s3fs-public/legacy_files/files/media/csis/pubs/090205_fcsarmy.pdf|Kenyon, Henry, ‘Rapid App Response: Marines to Embed Development Teams with Deployed Units’, GCN, 6 Feb. 2012, https://gcn.com/articles/2012/02/06/marine-corps-apps-embedded-development-teams.aspx|Kleinholz, Joshua, ‘AFwerX Vegas Opens New Doors to Innovation’, Air Combat Command, 23 Aug. 2017, https://www.acc.af.mil/News/Article-Display/Article/1288094/afwerx-vegas-opens-new-doors-to-innovation/|Kollars, Nina A., ‘War’s Horizon: Soldier-Led Adaptation in Iraq and Vietnam’, Journal of Strategic Studies 38/4 (2015), 529–53. DOI:10.1080/01402390.2014.971947 |Krazit, Tom, ‘How the US Air Force Deployed Kubernetes and Istio on an F-16 in 45 Days’, The New Stack, 24 Dec. 2019, https://thenewstack.io/how-the-u-s-air-force-deployed-kubernetes-and-istio-on-an-f-16-in-45-days/|Lake, Daniel R., The Pursuit of Technological Superiority and the Shrinking American Military (New York, NY: Palgrave MacMillan 2019). |Lavelle, Sean, ‘The Navy’s Kessel Run’, US Naval Institute, 3 Jan. 2019, https://blog.usni.org/posts/2019/01/03/the-navys-kessel-run|Leonard, Herman, et al., ‘SOFWERX: Innovation at US Special Operations Command’, Harvard Business School Case 819–004, Jul. 2018. (Open in a new window)Google Scholar|Lindsay, Jon R., Information Technology and Military Power (Ithaca, NY: Cornell UP 2020). |Lofgren, Eric, ‘The Future of Navy Software Development with Lt. Sean Lavelle,’ Acquisition Talk (1 Apr. 2020). Audio. (Open in a new window)Google Scholar|Lofgren, Eric, ‘The Last Frontier of Acquisition Reform: The Budget Process’, Conference Paper, Proceedings of the Seventeenth Annual Acquisition Research Symposium, 13-14 May 2020. Prepared for the Naval Postgraduate School, Monterey, CA. (Open in a new window)Google Scholar|Mabus, Ray, ‘Harnessing the Navy’s Culture of Innovation’, Naval Science and Technology Future Force Magazine, 7 Apr. 2015, https://futureforce.navylive.dodlive.mil/2015/04/harnessing-the-navys-culture-of-innovation/|Magnuson, Stew, ‘AUSA NEWS: Army Futures Command Breaking Down Barriers’, National Defense Magazine, 16 Oct. 2019, https://www.nationaldefensemagazine.org/articles/2019/10/16/army-futures-command-breaking-down-barriers|Mahnken, Thomas G., Technology and the American Way of War since 1945 (New York, NY: Columbia UP 2008). (Open in a new window)Google Scholar|Mansoor, Peter R. and Williamson Murray, (eds.), The Culture of Military Organizations (Cambridge: UK: Cambridge UP 2019). |Mayfield, Mandy, ‘Army Futures Command Establishes “Software Factory”’, National Defense Magazine, 21 Aug. 2020, https://www.nationaldefensemagazine.org/articles/2020/8/21/army-futures-command-establishes-software-factory|McCain, John, ‘Opening Statement by SASC Chairman John McCain at Hearing on DoD Nominations’, Office of Senator John McCain, 14 Nov. 2017, https://www.mccain.senate.gov/public/index.cfm/floor-statements?ID=05DCC73A-F9F2-44E8-A75F-236003222AF2|McQuade, J. Michael et al., ‘Software Is Never Done: Refactoring the Acquisition Code for Competitive Advantage’, Defense Innovation Board, 3 May 2019, https://media.defense.gov/2019/May/01/2002126690/-1/-1/0/SWAP%20EXECUTIVE%20SUMMARY.PDF|Miller, Jason, ‘Air Force’s game-changing approach to cloud accreditation, Federal News Network’, 30 Jul. 2020, https://federalnewsnetwork.com/ask-the-cio/2020/07/air-forces-game-changing-approach-to-cloud-accreditation/|Mori, Satoru, ‘US Defense Innovation and Artificial Intelligence’, Asia-Pacific Review 25/2 (2018), 16–44. DOI:10.1080/13439006.2018.1545488 |NavalXAgility, ‘Scaling Agility, Navy Doubles Tech Bridge Locations,’ 13 May 2020, https://www.navy.mil/submit/display.asp?story_id=112953|Neller, Robert B., ‘Strategy for Assured Command and Control: Enabling C2 for Tomorrow’s Marine Corps, Today’, US Marine Corps, Mar. 2017, https://www.hqmc.marines.mil/Portals/61/Marine_Corps_Strategy_for_Assured_Command_and_Control_March_2017.pdf?ver=2017-05-30-160731-940|Oakley, Shelby S., ‘Defense Acquisitions Annual Assessment: Drive to Deliver Capabilities Faster Increases Importance of Program Knowledge and Consistent Data for Oversight’, Government Accountability Office, Jun. 2020. https://www.gao.gov/assets/710/707359.pdf|Office of the Secretary of Defense, ‘National Defense Strategy of the United States of America: Sharpening the American Military’s Competitive Edge’, Jan. 2018. (Open in a new window)Google Scholar|Office of the Secretary of the Army, ‘Army Directive 2017–22 (Cross-functional Team Pilot in Support of Materiel Development’, 6 Oct. 2017. (Open in a new window)Google Scholar|Perez, Tony and Adam Welch, ‘AFWERX Spark’, in Brian Maue (ed..), Empowering Next Generation Innovators and Innovations (Arlington, VA: AFWERX 2020), 37–49. https://www.afwerx.af.mil/resources/AFWERX-Book.pdf|Pierce, Terry, ‘The Navy Needs a New Engine of Innovation’, Proceedings Magazine 144/11/1389 (Nov 2018). https://www.usni.org/magazines/proceedings/2018/november/navy-needs-new-engine-innovation|Pierce, Terry, Warfighting and Disruptive Technologies: Disguising Innovation (New York, NY: Frank Cass Publishers 2004). |Pomerleau, Mark, ‘Here’s What the Marines’ Information Command Centers Will Do’, C4ISR.net, 6 Dec. 2019, https://www.c4isrnet.com/information-warfare/2019/12/06/heres-what-the-marines-information-command-centers-will-do/|Pomerleau, Mark, ‘The Air Force Is All in on Software’, C4ISRnet, 12 Aug. 2019, https://www.c4isrnet.com/battlefield-tech/2019/08/12/the-air-force-is-all-in-on-software/|Posen, Barry R., ‘Foreward: Military Doctrine and the Management of Uncertainty’, Journal of Strategic Studies 39/2 (2016), 159–73. DOI:10.1080/01402390.2015.1115042 |Posen, Barry R., The Sources of Military Doctrine: France, Britain, and Germany between the World Wars (Ithaca, NY: Cornell UP 1986). (Open in a new window)Google Scholar|Raska, Michael, ‘The Sixth RMA Wave: Disruption in Military Affairs?’. Journal of Strategic Studies (2020), 1–24. DOI:10.1080/01402390.2020.1848818 |Richardson, John, ‘The Future Navy’, Office of the Chief of Naval Operations, 17 May 2017, https://admin.govexec.com/media/gbc/docs/pdfs_edit/futurenavyfinal.pdf|Roper, Will, ‘Take the Red Pill: _the New Digital Acquisition Reality’, Department of the Air Force, 15 Sept. 2020. (Open in a new window)Google Scholar|Rosen, Stephen Peter, Winning the Next War: Innovation and the Modern Military (Ithaca, NY: Cornell UP 1991). (Open in a new window)Google Scholar|Rosenberg, Barry, ‘Fail Fast, Not Twice: DoD’s Push for Agile Software Development’, Breaking Defense, 20 Jun. 2019, https://breakingdefense.com/2019/06/fail-fast-not-twice-dods-push-for-agile-software-development/|Sapolsky, Harvey M., Polaris System Development: Bureaucratic and Programmatic Success in Government (Cambridge, MA: Harvard UP 1972). |Schmidt, Eric, Robert Work, et al., ‘First Quarter Recommendations’, National Security Commission on Artificial Intelligence (March 2020). (Open in a new window)Google Scholar|Secretary of the Air Force Public Affairs, ‘Inaugural Air Force Pitch Day: New Contracts, New Partners’, 8 Mar. 2019, https://www.af.mil/News/Article-Display/Article/1779609/inaugural-air-force-pitch-day-new-contracts-new-partners/|South, Todd, ‘New Tech from Futures Command ‘Designed, Built, Tested with Soldiers’ to Get It There Faster’, Army Times, 20 Oct. 2019, https://www.armytimes.com/news/your-army/2019/10/21/new-tech-from-futures-command-designed-built-tested-with-soldiers-to-get-it-there-faster/|Spataro, Noah M., ‘FY2018 NIAC Consolidated Report: Lean Startup Approach to Capability Development: Evolving Small Batch Innovation for Dual-use Technologies’, Naval Innovation Advisory Council (1 August 2018). (Open in a new window)Google Scholar|Stavridis, James, ‘CNO’s Decision to Terminate Strategic Studies Group Is Smart — It Used to Be Good but Lately Was Fiddling Around’, Foreign Policy, 8 Apr. 2016, https://foreignpolicy.com/2016/04/08/cnos-decision-to-terminate-strategic-studies-group-is-smart-it-used-to-be-good-but-lately-was-fiddling-around/|Strout, Nathan, ‘The Marine Corps’ 4 Priorities in the Information Environment’, C4ISR.net, 6 Jan. 2020, https://www.c4isrnet.com/information-warfare/2020/01/06/the-marine-corps-4-priorities-in-the-information-environment/|US Department of Defense, ‘Summary of the 2018 Department of Defense Artificial Intelligence Strategy: Harnessing AI to Advance Our Security and Prosperity’, 12 Feb. 2019, https://media.defense.gov/2019/Feb/12/2002088963/-1/-1/1/SUMMARY-OF-DOD-AI-STRATEGY.PDF|Westbrook, Chris and Kathryn Bailey, ‘New Faces and New Tech Provide the Right Mix of Know-how and Speed’, US Army, 18 Jun. 2020, https://www.army.mil/article/236576/new_faces_and_new_tech_provide_the_right_mix_of_know_how_and_speed|Williams, Lauren C., ‘Gilday Outlines IT Vision for Navy Systems’, FCW, 31 Jul. 2019, https://fcw.com/articles/2019/07/31/gilday-confirmation-cyber-it.aspx|</v>
      </c>
    </row>
    <row r="85" customFormat="false" ht="169.4" hidden="false" customHeight="false" outlineLevel="0" collapsed="false">
      <c r="A85" s="4" t="s">
        <v>176</v>
      </c>
      <c r="B85" s="3" t="s">
        <v>176</v>
      </c>
      <c r="C85" s="0" t="str">
        <f aca="false">B85&amp;"|"</f>
        <v>Wirtz, James J., ‘Innovation for Seapower: US Navy Strategy in an Age of Acceleration’, Defense &amp; Security Analysis 36/1 (2020), 88–100. DOI:10.1080/14751798.2020.1712026 |</v>
      </c>
      <c r="D85" s="0" t="str">
        <f aca="false">D84&amp;C85</f>
        <v>Adams, David et al., ‘SSG Served as an Innovation Incubator,’ US Naval Institute Proceedings 143/4/1370, Apr. 2017, https://www.usni.org/magazines/proceedings/2017/april/ssg-served-innovation-incubator|Air Force Enterprise Capability Collaboration Team, ‘Air Superiority 2030 Flight Plan’, 26 May 2016, https://www.af.mil/Portals/1/documents/airpower/Air%20Superiority%202030%20Flight%20Plan.pdf|Amazon Web Services, ‘Readying the Warfighter: US Navy ERP Migrates to AWS’, 22 Jan. 2020, https://aws.amazon.com/blogs/publicsector/readying-warfighter-navy-erp-migrates-aws/|Army Futures Command, ‘Command Brief Creating a New Culture of Innovation’, Command Brief, 14 Mar. 2019, https://www.slideshare.net/TheNationalGuardBure/army-futures-command|Bell, Patrick and Jan Kallberg, ‘The Death of the Cyber Generalist’, US Army War College War Room, 8 Jun. 2018, https://warroom.armywarcollege.edu/articles/death-of-cyber-generalist/|Berger, David H., ‘Force Design 2030’, US Marine Corps, Mar. 2020. (Open in a new window)Google Scholar|Brynjolfsson, Erik and Andrew McAfee, The Second Machine Age: Work, Progress, and Prosperity in a Time of Brilliant Technologies (New York, NY: W. W. Norton &amp; Company 2014). (Open in a new window)Google Scholar|Builder, Carl H., The Masks of War: American Military Styles in Strategy and Analysis (Baltimore, MD: Johns Hopkins UP 1989). |Carnicelli, Teri, ‘Fathomwerx Lab Designated Ventura Tech Bridge for Navy’s NavalX Network’, Naval Sea Systems Command, 14 May 2020, https://www.navsea.navy.mil/Media/News/SavedNewsModule/Article/2187535/fathomwerx-lab-designated-ventura-tech-bridge-for-navys-navalx-network/|Cebul, Daniel, ‘Office of Naval Research Launches Program to Speed up Innovation’, Defense News, 2 Apr. 2018, https://www.defensenews.com/digital-show-dailies/navy-league/2018/04/02/office-of-naval-research-launches-program-to-speed-up-innovation/|Chaillan, Nicolas, ‘Software Factories’, US Air Force Chief Software Office, 2020. Last accessed 11 Oct. 2020. https://software.af.mil/software-factories/|Chesbrough, Henry, Open Innovation: The New Imperative for Creating and Profiting from Technology (Boston, MA: Harvard Business School Press 2003). (Open in a new window)Google Scholar|Cheung, Tai Ming, ‘Innovation in China’s Defense Technology Base: Foreign Technology and Military Capabilities’, Journal of Strategic Studies 39/5–6 (2016), 728–61. DOI:10.1080/01402390.2016.1208612 |Cote, Owen Reid, Jr., ‘The Politics of Innovative Military Doctrine: The US Navy and Fleet Ballistic Missiles’, Doctoral dissertation, Massachusetts Institute of Technology, Feb. 1996. (Open in a new window)Google Scholar|Cronin, Audrey Kurth, Power to the People: How Open Technological Innovation Is Arming Tomorrow’s Terrorists (Oxford: Oxford UP 2020). (Open in a new window)Google Scholar|Department of the Navy, ‘Unmanned Campaign Network’, 16 Mar. 2021, https://www.navy.mil/Portals/1/Strategic/20210315%20Unmanned%20Campaign_Final_LowRes.pdf?ver=LtCZ-BPlWki6vCBTdgtDMA%3D%3D|DiNapoli, Timothy J., ‘DOD’s Use of Other Transactions for Prototype Projects Has Increased’, Government Accountability Office GAO-20–84, Nov. 2019, https://www.gao.gov/assets/710/702861.pdf|Dunn, Richard L., ‘Other Transactions Contracts: Poorly Understood, Little Used’, National Defense Magazine, 15 May 2017, https://www.nationaldefensemagazine.org/articles/2017/5/15/other-transactions-contracts-poorly-understood-little-used|Easley, Matthew P., ‘Army Artificial Intelligence Task Force (AI-TF)’, US Army Futures Command (2019). https://www.clsac.org/uploads/5/0/6/3/50633811/2019-easley-aiml.pdf|Eckhardt, Jonathan T., Michael P. Ciuchta, and Mason Carpenter, ‘Open Innovation, Information, and Entrepreneurship within Platform Ecosystems’, Strategic Entrepreneurship Journal 12 (2018), 369–91. DOI:10.1002/sej.1298 |Eckstein, Megan, ‘Marine Corps Information Community Growing in Capability, Trying to Find Its Place in Joint Operations’, USNI News, 7 Jan. 2020, https://news.usni.org/2020/01/07/marine-corps-information-community-growing-in-capability-trying-to-find-its-place-in-joint-operations|Eversden, Andrew, ‘The Army AI Task Force Takes on Two ‘Key’ Projects’, C4ISRnet, 10 Jun. 2020, https://www.c4isrnet.com/artificial-intelligence/2020/06/10/the-army-ai-task-force-takes-on-two-key-projects/|Farrell, Theo, Sten Rynning, and Terry Terriff, Transforming Military Power since the Cold War: Britain, France, and the United States, 1991–2012 (Cambridge, UK: Cambridge UP 2013). |Feickert, Andrew and Brendan W. McGarry, ‘The Army’s Modernization Strategy: Congressional Oversight Considerations’, Congressional Research Service, 7 Feb. 2020, https://www.everycrsreport.com/files/20200207_R46216_444d93a212c95fd2fba1a596d520ca263a833307.pdf|Feickert, Andrew, ‘The Army’s Future Combat System (FCS): Background and Issues for Congress’, Congressional Research Services, 5 May 2006, https://www.everycrsreport.com/files/20060505_RL32888_bd0c5e4691669243ba6aacea43a6ce91c182246e.pdf|Fiott, Daniel, ‘A Revolution Too Far? US Defence Innovation, Europe and NATO’s Military-Technological Gap’, Journal of Strategic Studies 40/3 (2017), 417–37. DOI:10.1080/01402390.2016.1176565 |Gansler, Jacques, Democracy’s Arsenal: Creating a Twenty-First Century Defense Industry (Cambridge, MA: MIT UP 2011). |Geurts, James F., ‘The Department of the Navy Fiscal Year 2020 Budget Request for Science and Technology Programs’, House Armed Services Committee, 28 Mar. 2019. https://armedservices.house.gov/_cache/files/c/4/c46d8d7f-cade-4487-bae0-f87943aa205e/5AD8EA25BA971C25EF67C083034A43F2.hhrg-116-as26-wstate-geurtsj-20190328.pdf|Gilli, Andrea and Mauro Gilli, ‘Why China Has Not Caught Up Yet: Military-Technological Superiority and the Limits of Imitation, Reverse Engineering, and Cyber Espionage’, International Security 43/3 ( Winter 2018/19), 141–89. DOI:10.1162/isec_a_00337 |Glavy, Matthew G. and Brett Goldstein, ‘The Battle for Mon Cala: Getting the Military to Deliver Its Own Tech Solutions’, War On The Rocks, 20 Aug. 2020, https://warontherocks.com/2020/08/the-battle-for-mon-cala-getting-the-military-to-deliver-its-own-tech-solutions/|Griffin, Stuart, ‘Military Innovation Studies: Multidisciplinary or Lacking Discipline?’, Journal of Strategic Studies 40/1/2 (2016), 196–224. DOI:10.1080/01402390.2016.1196358 |Grissom, Andrew, ‘The Future of Military Innovation Studies’, Journal of Strategic Studies 29/5 (Oct. 2006), 905–34. DOI:10.1080/01402390600901067. |Haduch, Thomas W., ‘Maintaining the US Army Research, Development and Engineering Command Prototype Integration Facilities’, Defense Acquisition University Press. May 2014, https://www.dau.edu/training/career-development/sscf/Documents/T.%20HaduchSSCF2014SRPOPSECFINAL.pdf|Harper, Jon, ‘Army to Release New Wish List for Optionally Manned Fighting Vehicle’, National Defense Magazine, 19 Feb. 2020, https://www.nationaldefensemagazine.org/articles/2020/2/19/army-to-release-new-wish-list-for-optionally-manned-fighting-vehicle|Horowitz, Michael C., The Diffusion of Military Power: Causes and Consequences for International Politics (Princeton, NJ: Princeton UP 2010). |Horowitz, Michael, ‘Artificial Intelligence, International Competition, and the Balance of Power’, Texas National Security Review 1/3 (May 2018), 36–57. https://tnsr.org/2018/05/artificial-intelligence-international-competition-and-the-balance-of-power/|Kaeser, Hans Ulrich, ‘The Future Combat System: What Future Can The Army Afford?’, Center for Strategic and International Studies, 5 Feb. 2009. Working draft, https://csis-website-prod.s3.amazonaws.com/s3fs-public/legacy_files/files/media/csis/pubs/090205_fcsarmy.pdf|Kenyon, Henry, ‘Rapid App Response: Marines to Embed Development Teams with Deployed Units’, GCN, 6 Feb. 2012, https://gcn.com/articles/2012/02/06/marine-corps-apps-embedded-development-teams.aspx|Kleinholz, Joshua, ‘AFwerX Vegas Opens New Doors to Innovation’, Air Combat Command, 23 Aug. 2017, https://www.acc.af.mil/News/Article-Display/Article/1288094/afwerx-vegas-opens-new-doors-to-innovation/|Kollars, Nina A., ‘War’s Horizon: Soldier-Led Adaptation in Iraq and Vietnam’, Journal of Strategic Studies 38/4 (2015), 529–53. DOI:10.1080/01402390.2014.971947 |Krazit, Tom, ‘How the US Air Force Deployed Kubernetes and Istio on an F-16 in 45 Days’, The New Stack, 24 Dec. 2019, https://thenewstack.io/how-the-u-s-air-force-deployed-kubernetes-and-istio-on-an-f-16-in-45-days/|Lake, Daniel R., The Pursuit of Technological Superiority and the Shrinking American Military (New York, NY: Palgrave MacMillan 2019). |Lavelle, Sean, ‘The Navy’s Kessel Run’, US Naval Institute, 3 Jan. 2019, https://blog.usni.org/posts/2019/01/03/the-navys-kessel-run|Leonard, Herman, et al., ‘SOFWERX: Innovation at US Special Operations Command’, Harvard Business School Case 819–004, Jul. 2018. (Open in a new window)Google Scholar|Lindsay, Jon R., Information Technology and Military Power (Ithaca, NY: Cornell UP 2020). |Lofgren, Eric, ‘The Future of Navy Software Development with Lt. Sean Lavelle,’ Acquisition Talk (1 Apr. 2020). Audio. (Open in a new window)Google Scholar|Lofgren, Eric, ‘The Last Frontier of Acquisition Reform: The Budget Process’, Conference Paper, Proceedings of the Seventeenth Annual Acquisition Research Symposium, 13-14 May 2020. Prepared for the Naval Postgraduate School, Monterey, CA. (Open in a new window)Google Scholar|Mabus, Ray, ‘Harnessing the Navy’s Culture of Innovation’, Naval Science and Technology Future Force Magazine, 7 Apr. 2015, https://futureforce.navylive.dodlive.mil/2015/04/harnessing-the-navys-culture-of-innovation/|Magnuson, Stew, ‘AUSA NEWS: Army Futures Command Breaking Down Barriers’, National Defense Magazine, 16 Oct. 2019, https://www.nationaldefensemagazine.org/articles/2019/10/16/army-futures-command-breaking-down-barriers|Mahnken, Thomas G., Technology and the American Way of War since 1945 (New York, NY: Columbia UP 2008). (Open in a new window)Google Scholar|Mansoor, Peter R. and Williamson Murray, (eds.), The Culture of Military Organizations (Cambridge: UK: Cambridge UP 2019). |Mayfield, Mandy, ‘Army Futures Command Establishes “Software Factory”’, National Defense Magazine, 21 Aug. 2020, https://www.nationaldefensemagazine.org/articles/2020/8/21/army-futures-command-establishes-software-factory|McCain, John, ‘Opening Statement by SASC Chairman John McCain at Hearing on DoD Nominations’, Office of Senator John McCain, 14 Nov. 2017, https://www.mccain.senate.gov/public/index.cfm/floor-statements?ID=05DCC73A-F9F2-44E8-A75F-236003222AF2|McQuade, J. Michael et al., ‘Software Is Never Done: Refactoring the Acquisition Code for Competitive Advantage’, Defense Innovation Board, 3 May 2019, https://media.defense.gov/2019/May/01/2002126690/-1/-1/0/SWAP%20EXECUTIVE%20SUMMARY.PDF|Miller, Jason, ‘Air Force’s game-changing approach to cloud accreditation, Federal News Network’, 30 Jul. 2020, https://federalnewsnetwork.com/ask-the-cio/2020/07/air-forces-game-changing-approach-to-cloud-accreditation/|Mori, Satoru, ‘US Defense Innovation and Artificial Intelligence’, Asia-Pacific Review 25/2 (2018), 16–44. DOI:10.1080/13439006.2018.1545488 |NavalXAgility, ‘Scaling Agility, Navy Doubles Tech Bridge Locations,’ 13 May 2020, https://www.navy.mil/submit/display.asp?story_id=112953|Neller, Robert B., ‘Strategy for Assured Command and Control: Enabling C2 for Tomorrow’s Marine Corps, Today’, US Marine Corps, Mar. 2017, https://www.hqmc.marines.mil/Portals/61/Marine_Corps_Strategy_for_Assured_Command_and_Control_March_2017.pdf?ver=2017-05-30-160731-940|Oakley, Shelby S., ‘Defense Acquisitions Annual Assessment: Drive to Deliver Capabilities Faster Increases Importance of Program Knowledge and Consistent Data for Oversight’, Government Accountability Office, Jun. 2020. https://www.gao.gov/assets/710/707359.pdf|Office of the Secretary of Defense, ‘National Defense Strategy of the United States of America: Sharpening the American Military’s Competitive Edge’, Jan. 2018. (Open in a new window)Google Scholar|Office of the Secretary of the Army, ‘Army Directive 2017–22 (Cross-functional Team Pilot in Support of Materiel Development’, 6 Oct. 2017. (Open in a new window)Google Scholar|Perez, Tony and Adam Welch, ‘AFWERX Spark’, in Brian Maue (ed..), Empowering Next Generation Innovators and Innovations (Arlington, VA: AFWERX 2020), 37–49. https://www.afwerx.af.mil/resources/AFWERX-Book.pdf|Pierce, Terry, ‘The Navy Needs a New Engine of Innovation’, Proceedings Magazine 144/11/1389 (Nov 2018). https://www.usni.org/magazines/proceedings/2018/november/navy-needs-new-engine-innovation|Pierce, Terry, Warfighting and Disruptive Technologies: Disguising Innovation (New York, NY: Frank Cass Publishers 2004). |Pomerleau, Mark, ‘Here’s What the Marines’ Information Command Centers Will Do’, C4ISR.net, 6 Dec. 2019, https://www.c4isrnet.com/information-warfare/2019/12/06/heres-what-the-marines-information-command-centers-will-do/|Pomerleau, Mark, ‘The Air Force Is All in on Software’, C4ISRnet, 12 Aug. 2019, https://www.c4isrnet.com/battlefield-tech/2019/08/12/the-air-force-is-all-in-on-software/|Posen, Barry R., ‘Foreward: Military Doctrine and the Management of Uncertainty’, Journal of Strategic Studies 39/2 (2016), 159–73. DOI:10.1080/01402390.2015.1115042 |Posen, Barry R., The Sources of Military Doctrine: France, Britain, and Germany between the World Wars (Ithaca, NY: Cornell UP 1986). (Open in a new window)Google Scholar|Raska, Michael, ‘The Sixth RMA Wave: Disruption in Military Affairs?’. Journal of Strategic Studies (2020), 1–24. DOI:10.1080/01402390.2020.1848818 |Richardson, John, ‘The Future Navy’, Office of the Chief of Naval Operations, 17 May 2017, https://admin.govexec.com/media/gbc/docs/pdfs_edit/futurenavyfinal.pdf|Roper, Will, ‘Take the Red Pill: _the New Digital Acquisition Reality’, Department of the Air Force, 15 Sept. 2020. (Open in a new window)Google Scholar|Rosen, Stephen Peter, Winning the Next War: Innovation and the Modern Military (Ithaca, NY: Cornell UP 1991). (Open in a new window)Google Scholar|Rosenberg, Barry, ‘Fail Fast, Not Twice: DoD’s Push for Agile Software Development’, Breaking Defense, 20 Jun. 2019, https://breakingdefense.com/2019/06/fail-fast-not-twice-dods-push-for-agile-software-development/|Sapolsky, Harvey M., Polaris System Development: Bureaucratic and Programmatic Success in Government (Cambridge, MA: Harvard UP 1972). |Schmidt, Eric, Robert Work, et al., ‘First Quarter Recommendations’, National Security Commission on Artificial Intelligence (March 2020). (Open in a new window)Google Scholar|Secretary of the Air Force Public Affairs, ‘Inaugural Air Force Pitch Day: New Contracts, New Partners’, 8 Mar. 2019, https://www.af.mil/News/Article-Display/Article/1779609/inaugural-air-force-pitch-day-new-contracts-new-partners/|South, Todd, ‘New Tech from Futures Command ‘Designed, Built, Tested with Soldiers’ to Get It There Faster’, Army Times, 20 Oct. 2019, https://www.armytimes.com/news/your-army/2019/10/21/new-tech-from-futures-command-designed-built-tested-with-soldiers-to-get-it-there-faster/|Spataro, Noah M., ‘FY2018 NIAC Consolidated Report: Lean Startup Approach to Capability Development: Evolving Small Batch Innovation for Dual-use Technologies’, Naval Innovation Advisory Council (1 August 2018). (Open in a new window)Google Scholar|Stavridis, James, ‘CNO’s Decision to Terminate Strategic Studies Group Is Smart — It Used to Be Good but Lately Was Fiddling Around’, Foreign Policy, 8 Apr. 2016, https://foreignpolicy.com/2016/04/08/cnos-decision-to-terminate-strategic-studies-group-is-smart-it-used-to-be-good-but-lately-was-fiddling-around/|Strout, Nathan, ‘The Marine Corps’ 4 Priorities in the Information Environment’, C4ISR.net, 6 Jan. 2020, https://www.c4isrnet.com/information-warfare/2020/01/06/the-marine-corps-4-priorities-in-the-information-environment/|US Department of Defense, ‘Summary of the 2018 Department of Defense Artificial Intelligence Strategy: Harnessing AI to Advance Our Security and Prosperity’, 12 Feb. 2019, https://media.defense.gov/2019/Feb/12/2002088963/-1/-1/1/SUMMARY-OF-DOD-AI-STRATEGY.PDF|Westbrook, Chris and Kathryn Bailey, ‘New Faces and New Tech Provide the Right Mix of Know-how and Speed’, US Army, 18 Jun. 2020, https://www.army.mil/article/236576/new_faces_and_new_tech_provide_the_right_mix_of_know_how_and_speed|Williams, Lauren C., ‘Gilday Outlines IT Vision for Navy Systems’, FCW, 31 Jul. 2019, https://fcw.com/articles/2019/07/31/gilday-confirmation-cyber-it.aspx|Wirtz, James J., ‘Innovation for Seapower: US Navy Strategy in an Age of Acceleration’, Defense &amp; Security Analysis 36/1 (2020), 88–100. DOI:10.1080/14751798.2020.1712026 |</v>
      </c>
    </row>
  </sheetData>
  <hyperlinks>
    <hyperlink ref="A7" r:id="rId1" display="(Open in a new window)Google Scholar"/>
    <hyperlink ref="A8" r:id="rId2" display="(Open in a new window)Google Scholar"/>
    <hyperlink ref="A13" r:id="rId3" display="(Open in a new window)Google Scholar"/>
    <hyperlink ref="A15" r:id="rId4" display="(Open in a new window)Google Scholar"/>
    <hyperlink ref="A16" r:id="rId5" display="(Open in a new window)Google Scholar"/>
    <hyperlink ref="A45" r:id="rId6" display="(Open in a new window)Google Scholar"/>
    <hyperlink ref="A47" r:id="rId7" display="(Open in a new window)Google Scholar"/>
    <hyperlink ref="A48" r:id="rId8" display="(Open in a new window)Google Scholar"/>
    <hyperlink ref="A51" r:id="rId9" display="(Open in a new window)Google Scholar"/>
    <hyperlink ref="A61" r:id="rId10" display="(Open in a new window)Google Scholar"/>
    <hyperlink ref="A62" r:id="rId11" display="(Open in a new window)Google Scholar"/>
    <hyperlink ref="A69" r:id="rId12" display="(Open in a new window)Google Scholar"/>
    <hyperlink ref="A72" r:id="rId13" display="(Open in a new window)Google Scholar"/>
    <hyperlink ref="A73" r:id="rId14" display="(Open in a new window)Google Scholar"/>
    <hyperlink ref="A76" r:id="rId15" display="(Open in a new window)Google Scholar"/>
    <hyperlink ref="A79" r:id="rId16" display="(Open in a new window)Google Scholar"/>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Roman,Regular"&amp;12Página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2"/>
  <sheetViews>
    <sheetView showFormulas="false" showGridLines="true" showRowColHeaders="true" showZeros="true" rightToLeft="false" tabSelected="false" showOutlineSymbols="true" defaultGridColor="true" view="normal" topLeftCell="A41" colorId="64" zoomScale="100" zoomScaleNormal="100" zoomScalePageLayoutView="100" workbookViewId="0">
      <selection pane="topLeft" activeCell="D42" activeCellId="0" sqref="D42"/>
    </sheetView>
  </sheetViews>
  <sheetFormatPr defaultColWidth="11.53515625" defaultRowHeight="12.8" zeroHeight="false" outlineLevelRow="0" outlineLevelCol="0"/>
  <cols>
    <col collapsed="false" customWidth="false" hidden="false" outlineLevel="0" max="2" min="2" style="3" width="11.53"/>
  </cols>
  <sheetData>
    <row r="1" customFormat="false" ht="12.8" hidden="false" customHeight="false" outlineLevel="0" collapsed="false">
      <c r="A1" s="0" t="s">
        <v>25</v>
      </c>
      <c r="B1" s="3" t="s">
        <v>25</v>
      </c>
      <c r="C1" s="5" t="s">
        <v>26</v>
      </c>
      <c r="D1" s="5" t="s">
        <v>27</v>
      </c>
    </row>
    <row r="2" customFormat="false" ht="191.75" hidden="false" customHeight="false" outlineLevel="0" collapsed="false">
      <c r="A2" s="4" t="s">
        <v>177</v>
      </c>
      <c r="B2" s="3" t="s">
        <v>177</v>
      </c>
      <c r="C2" s="0" t="str">
        <f aca="false">B2&amp;"| "</f>
        <v>Adamsky, Dmitry, The Culture of Military Innovation: The Impact of Cultural Factors on the Revolution in Military Affairs in Russia, the US, and Israel (Stanford Stanford University Press 2010). | </v>
      </c>
      <c r="D2" s="0" t="str">
        <f aca="false">C2</f>
        <v>Adamsky, Dmitry, The Culture of Military Innovation: The Impact of Cultural Factors on the Revolution in Military Affairs in Russia, the US, and Israel (Stanford Stanford University Press 2010). | </v>
      </c>
    </row>
    <row r="3" customFormat="false" ht="191.75" hidden="false" customHeight="false" outlineLevel="0" collapsed="false">
      <c r="A3" s="4" t="s">
        <v>178</v>
      </c>
      <c r="B3" s="3" t="s">
        <v>178</v>
      </c>
      <c r="C3" s="5" t="str">
        <f aca="false">B3&amp;"| "</f>
        <v>Blake, Duncan, ‘Military Strategic Use of Outer Space’, in H. Nasu and R. McLaughlin (eds.) New Technologies and the Law of Armed Conflict (Hague: T.M.C. Asser Press 2014), 97–114. | </v>
      </c>
      <c r="D3" s="0" t="str">
        <f aca="false">D2&amp;C3</f>
        <v>Adamsky, Dmitry, The Culture of Military Innovation: The Impact of Cultural Factors on the Revolution in Military Affairs in Russia, the US, and Israel (Stanford Stanford University Press 2010). | Blake, Duncan, ‘Military Strategic Use of Outer Space’, in H. Nasu and R. McLaughlin (eds.) New Technologies and the Law of Armed Conflict (Hague: T.M.C. Asser Press 2014), 97–114. | </v>
      </c>
    </row>
    <row r="4" customFormat="false" ht="169.4" hidden="false" customHeight="false" outlineLevel="0" collapsed="false">
      <c r="A4" s="4" t="s">
        <v>179</v>
      </c>
      <c r="B4" s="3" t="s">
        <v>180</v>
      </c>
      <c r="C4" s="5" t="str">
        <f aca="false">B4&amp;"| "</f>
        <v>Breznitz, Dan, ‘The Military as a Public Space: The Role of the IDF in the Israeli Software Innovation System’, MIT Working Paper IPC-02-004 (April 2002). | </v>
      </c>
      <c r="D4" s="5" t="str">
        <f aca="false">D3&amp;C4</f>
        <v>Adamsky, Dmitry, The Culture of Military Innovation: The Impact of Cultural Factors on the Revolution in Military Affairs in Russia, the US, and Israel (Stanford Stanford University Press 2010). | Blake, Duncan, ‘Military Strategic Use of Outer Space’, in H. Nasu and R. McLaughlin (eds.) New Technologies and the Law of Armed Conflict (Hague: T.M.C. Asser Press 2014), 97–114. | Breznitz, Dan, ‘The Military as a Public Space: The Role of the IDF in the Israeli Software Innovation System’, MIT Working Paper IPC-02-004 (April 2002). | </v>
      </c>
    </row>
    <row r="5" customFormat="false" ht="236.55" hidden="false" customHeight="false" outlineLevel="0" collapsed="false">
      <c r="A5" s="4" t="s">
        <v>181</v>
      </c>
      <c r="B5" s="3" t="s">
        <v>182</v>
      </c>
      <c r="C5" s="5" t="str">
        <f aca="false">B5&amp;"| "</f>
        <v>Brzoska, Michael, ‘Trends in Global Military and Civilian Research and Development (R&amp;D) and Their Changing Interface’, Proceedings of the International Seminar on Defence Finance and Economics 19 (2006). | </v>
      </c>
      <c r="D5" s="5" t="str">
        <f aca="false">D4&amp;C5</f>
        <v>Adamsky, Dmitry, The Culture of Military Innovation: The Impact of Cultural Factors on the Revolution in Military Affairs in Russia, the US, and Israel (Stanford Stanford University Press 2010). | Blake, Duncan, ‘Military Strategic Use of Outer Space’, in H. Nasu and R. McLaughlin (eds.) New Technologies and the Law of Armed Conflict (Hague: T.M.C. Asser Press 2014), 97–114. | Breznitz, Dan, ‘The Military as a Public Space: The Role of the IDF in the Israeli Software Innovation System’, MIT Working Paper IPC-02-004 (April 2002). | Brzoska, Michael, ‘Trends in Global Military and Civilian Research and Development (R&amp;D) and Their Changing Interface’, Proceedings of the International Seminar on Defence Finance and Economics 19 (2006). | </v>
      </c>
    </row>
    <row r="6" customFormat="false" ht="102.2" hidden="false" customHeight="false" outlineLevel="0" collapsed="false">
      <c r="A6" s="4" t="s">
        <v>183</v>
      </c>
      <c r="B6" s="3" t="s">
        <v>183</v>
      </c>
      <c r="C6" s="5" t="str">
        <f aca="false">B6&amp;"| "</f>
        <v>Buzan, Barry and Eric Herring, The Arms Dynamic in World Politics (Boulder Lynne Rienner 1998). | </v>
      </c>
      <c r="D6" s="5" t="str">
        <f aca="false">D5&amp;C6</f>
        <v>Adamsky, Dmitry, The Culture of Military Innovation: The Impact of Cultural Factors on the Revolution in Military Affairs in Russia, the US, and Israel (Stanford Stanford University Press 2010). | Blake, Duncan, ‘Military Strategic Use of Outer Space’, in H. Nasu and R. McLaughlin (eds.) New Technologies and the Law of Armed Conflict (Hague: T.M.C. Asser Press 2014), 97–114. | Breznitz, Dan, ‘The Military as a Public Space: The Role of the IDF in the Israeli Software Innovation System’, MIT Working Paper IPC-02-004 (April 2002). | Brzoska, Michael, ‘Trends in Global Military and Civilian Research and Development (R&amp;D) and Their Changing Interface’, Proceedings of the International Seminar on Defence Finance and Economics 19 (2006). | Buzan, Barry and Eric Herring, The Arms Dynamic in World Politics (Boulder Lynne Rienner 1998). | </v>
      </c>
    </row>
    <row r="7" customFormat="false" ht="202.95" hidden="false" customHeight="false" outlineLevel="0" collapsed="false">
      <c r="A7" s="4" t="s">
        <v>184</v>
      </c>
      <c r="B7" s="3" t="s">
        <v>185</v>
      </c>
      <c r="C7" s="5" t="str">
        <f aca="false">B7&amp;"| "</f>
        <v>Caspi-Shabbat, Tali and Or Glik, ‘Mahapechat hameida baolam hamivtsai harav-zroi betzahal [The Information Revolution in the IDF’s Multi-arm Operational World]’, Bein Haktavim 18 (2018), 38–47. | </v>
      </c>
      <c r="D7" s="5" t="str">
        <f aca="false">D6&amp;C7</f>
        <v>Adamsky, Dmitry, The Culture of Military Innovation: The Impact of Cultural Factors on the Revolution in Military Affairs in Russia, the US, and Israel (Stanford Stanford University Press 2010). | Blake, Duncan, ‘Military Strategic Use of Outer Space’, in H. Nasu and R. McLaughlin (eds.) New Technologies and the Law of Armed Conflict (Hague: T.M.C. Asser Press 2014), 97–114. | Breznitz, Dan, ‘The Military as a Public Space: The Role of the IDF in the Israeli Software Innovation System’, MIT Working Paper IPC-02-004 (April 2002). | Brzoska, Michael, ‘Trends in Global Military and Civilian Research and Development (R&amp;D) and Their Changing Interface’, Proceedings of the International Seminar on Defence Finance and Economics 19 (2006). | Buzan, Barry and Eric Herring, The Arms Dynamic in World Politics (Boulder Lynne Rienner 1998). | Caspi-Shabbat, Tali and Or Glik, ‘Mahapechat hameida baolam hamivtsai harav-zroi betzahal [The Information Revolution in the IDF’s Multi-arm Operational World]’, Bein Haktavim 18 (2018), 38–47. | </v>
      </c>
    </row>
    <row r="8" customFormat="false" ht="281.3" hidden="false" customHeight="false" outlineLevel="0" collapsed="false">
      <c r="A8" s="4" t="s">
        <v>186</v>
      </c>
      <c r="B8" s="3" t="s">
        <v>186</v>
      </c>
      <c r="C8" s="5" t="str">
        <f aca="false">B8&amp;"| "</f>
        <v>Cheung, Tai Ming, Thomas G. Mahnken, and Andrew L. Ross, ‘Frameworks for Analyzing Chinese Defense and Military Innovation’, in Tai Ming Cheung (ed.) Forging China’s Military Might: A New Framework for Assessing Innovation (Baltimore: Johns Hopkins University Press 2014), 15–46. | </v>
      </c>
      <c r="D8" s="5" t="str">
        <f aca="false">D7&amp;C8</f>
        <v>Adamsky, Dmitry, The Culture of Military Innovation: The Impact of Cultural Factors on the Revolution in Military Affairs in Russia, the US, and Israel (Stanford Stanford University Press 2010). | Blake, Duncan, ‘Military Strategic Use of Outer Space’, in H. Nasu and R. McLaughlin (eds.) New Technologies and the Law of Armed Conflict (Hague: T.M.C. Asser Press 2014), 97–114. | Breznitz, Dan, ‘The Military as a Public Space: The Role of the IDF in the Israeli Software Innovation System’, MIT Working Paper IPC-02-004 (April 2002). | Brzoska, Michael, ‘Trends in Global Military and Civilian Research and Development (R&amp;D) and Their Changing Interface’, Proceedings of the International Seminar on Defence Finance and Economics 19 (2006). | Buzan, Barry and Eric Herring, The Arms Dynamic in World Politics (Boulder Lynne Rienner 1998). | Caspi-Shabbat, Tali and Or Glik, ‘Mahapechat hameida baolam hamivtsai harav-zroi betzahal [The Information Revolution in the IDF’s Multi-arm Operational World]’, Bein Haktavim 18 (2018), 38–47. | Cheung, Tai Ming, Thomas G. Mahnken, and Andrew L. Ross, ‘Frameworks for Analyzing Chinese Defense and Military Innovation’, in Tai Ming Cheung (ed.) Forging China’s Military Might: A New Framework for Assessing Innovation (Baltimore: Johns Hopkins University Press 2014), 15–46. | </v>
      </c>
    </row>
    <row r="9" customFormat="false" ht="135.8" hidden="false" customHeight="false" outlineLevel="0" collapsed="false">
      <c r="A9" s="4" t="s">
        <v>187</v>
      </c>
      <c r="B9" s="3" t="s">
        <v>187</v>
      </c>
      <c r="C9" s="5" t="str">
        <f aca="false">B9&amp;"| "</f>
        <v>Chin, Warren, ‘Technology, War and the State: Past, Present and Future’, International Affairs 95/4 (2019), 765–83. doi:10.1093/ia/iiz106 | </v>
      </c>
      <c r="D9" s="5" t="str">
        <f aca="false">D8&amp;C9</f>
        <v>Adamsky, Dmitry, The Culture of Military Innovation: The Impact of Cultural Factors on the Revolution in Military Affairs in Russia, the US, and Israel (Stanford Stanford University Press 2010). | Blake, Duncan, ‘Military Strategic Use of Outer Space’, in H. Nasu and R. McLaughlin (eds.) New Technologies and the Law of Armed Conflict (Hague: T.M.C. Asser Press 2014), 97–114. | Breznitz, Dan, ‘The Military as a Public Space: The Role of the IDF in the Israeli Software Innovation System’, MIT Working Paper IPC-02-004 (April 2002). | Brzoska, Michael, ‘Trends in Global Military and Civilian Research and Development (R&amp;D) and Their Changing Interface’, Proceedings of the International Seminar on Defence Finance and Economics 19 (2006). | Buzan, Barry and Eric Herring, The Arms Dynamic in World Politics (Boulder Lynne Rienner 1998). | Caspi-Shabbat, Tali and Or Glik, ‘Mahapechat hameida baolam hamivtsai harav-zroi betzahal [The Information Revolution in the IDF’s Multi-arm Operational World]’, Bein Haktavim 18 (2018), 38–47. | Cheung, Tai Ming, Thomas G. Mahnken, and Andrew L. Ross, ‘Frameworks for Analyzing Chinese Defense and Military Innovation’, in Tai Ming Cheung (ed.) Forging China’s Military Might: A New Framework for Assessing Innovation (Baltimore: Johns Hopkins University Press 2014), 15–46. | Chin, Warren, ‘Technology, War and the State: Past, Present and Future’, International Affairs 95/4 (2019), 765–83. doi:10.1093/ia/iiz106 | </v>
      </c>
    </row>
    <row r="10" customFormat="false" ht="169.4" hidden="false" customHeight="false" outlineLevel="0" collapsed="false">
      <c r="A10" s="4" t="s">
        <v>188</v>
      </c>
      <c r="B10" s="3" t="s">
        <v>189</v>
      </c>
      <c r="C10" s="5" t="str">
        <f aca="false">B10&amp;"| "</f>
        <v>Eilam, Uzi, Keshet Eilam: hatechnologia hamitkademet [Eilam’s Arc: How Israel Became a Military Technology Powerhouse] (Tel Aviv Yedioth Ahronoth 2011). | </v>
      </c>
      <c r="D10" s="5" t="str">
        <f aca="false">D9&amp;C10</f>
        <v>Adamsky, Dmitry, The Culture of Military Innovation: The Impact of Cultural Factors on the Revolution in Military Affairs in Russia, the US, and Israel (Stanford Stanford University Press 2010). | Blake, Duncan, ‘Military Strategic Use of Outer Space’, in H. Nasu and R. McLaughlin (eds.) New Technologies and the Law of Armed Conflict (Hague: T.M.C. Asser Press 2014), 97–114. | Breznitz, Dan, ‘The Military as a Public Space: The Role of the IDF in the Israeli Software Innovation System’, MIT Working Paper IPC-02-004 (April 2002). | Brzoska, Michael, ‘Trends in Global Military and Civilian Research and Development (R&amp;D) and Their Changing Interface’, Proceedings of the International Seminar on Defence Finance and Economics 19 (2006). | Buzan, Barry and Eric Herring, The Arms Dynamic in World Politics (Boulder Lynne Rienner 1998). | Caspi-Shabbat, Tali and Or Glik, ‘Mahapechat hameida baolam hamivtsai harav-zroi betzahal [The Information Revolution in the IDF’s Multi-arm Operational World]’, Bein Haktavim 18 (2018), 38–47. | Cheung, Tai Ming, Thomas G. Mahnken, and Andrew L. Ross, ‘Frameworks for Analyzing Chinese Defense and Military Innovation’, in Tai Ming Cheung (ed.) Forging China’s Military Might: A New Framework for Assessing Innovation (Baltimore: Johns Hopkins University Press 2014), 15–46. | Chin, Warren, ‘Technology, War and the State: Past, Present and Future’, International Affairs 95/4 (2019), 765–83. doi:10.1093/ia/iiz106 | Eilam, Uzi, Keshet Eilam: hatechnologia hamitkademet [Eilam’s Arc: How Israel Became a Military Technology Powerhouse] (Tel Aviv Yedioth Ahronoth 2011). | </v>
      </c>
    </row>
    <row r="11" customFormat="false" ht="281.3" hidden="false" customHeight="false" outlineLevel="0" collapsed="false">
      <c r="A11" s="4" t="s">
        <v>190</v>
      </c>
      <c r="B11" s="3" t="s">
        <v>191</v>
      </c>
      <c r="C11" s="5" t="str">
        <f aca="false">B11&amp;"| "</f>
        <v>Faglin, Gay, ‘Merutz hachidush: Technologiot mishariot vetzvaiyot beemtzaei lehima – nekudat haizun hamatima [The Innovation Race’: Commercial and Military Technologies in Military Systems – The Right Balance] (Haifa Chaikin Chair in Geostrategy 2018). | </v>
      </c>
      <c r="D11" s="5" t="str">
        <f aca="false">D10&amp;C11</f>
        <v>Adamsky, Dmitry, The Culture of Military Innovation: The Impact of Cultural Factors on the Revolution in Military Affairs in Russia, the US, and Israel (Stanford Stanford University Press 2010). | Blake, Duncan, ‘Military Strategic Use of Outer Space’, in H. Nasu and R. McLaughlin (eds.) New Technologies and the Law of Armed Conflict (Hague: T.M.C. Asser Press 2014), 97–114. | Breznitz, Dan, ‘The Military as a Public Space: The Role of the IDF in the Israeli Software Innovation System’, MIT Working Paper IPC-02-004 (April 2002). | Brzoska, Michael, ‘Trends in Global Military and Civilian Research and Development (R&amp;D) and Their Changing Interface’, Proceedings of the International Seminar on Defence Finance and Economics 19 (2006). | Buzan, Barry and Eric Herring, The Arms Dynamic in World Politics (Boulder Lynne Rienner 1998). | Caspi-Shabbat, Tali and Or Glik, ‘Mahapechat hameida baolam hamivtsai harav-zroi betzahal [The Information Revolution in the IDF’s Multi-arm Operational World]’, Bein Haktavim 18 (2018), 38–47. | Cheung, Tai Ming, Thomas G. Mahnken, and Andrew L. Ross, ‘Frameworks for Analyzing Chinese Defense and Military Innovation’, in Tai Ming Cheung (ed.) Forging China’s Military Might: A New Framework for Assessing Innovation (Baltimore: Johns Hopkins University Press 2014), 15–46. | Chin, Warren, ‘Technology, War and the State: Past, Present and Future’, International Affairs 95/4 (2019), 765–83. doi:10.1093/ia/iiz106 | Eilam, Uzi, Keshet Eilam: hatechnologia hamitkademet [Eilam’s Arc: How Israel Became a Military Technology Powerhouse] (Tel Aviv Yedioth Ahronoth 2011). | Faglin, Gay, ‘Merutz hachidush: Technologiot mishariot vetzvaiyot beemtzaei lehima – nekudat haizun hamatima [The Innovation Race’: Commercial and Military Technologies in Military Systems – The Right Balance] (Haifa Chaikin Chair in Geostrategy 2018). | </v>
      </c>
    </row>
    <row r="12" customFormat="false" ht="202.95" hidden="false" customHeight="false" outlineLevel="0" collapsed="false">
      <c r="A12" s="4" t="s">
        <v>192</v>
      </c>
      <c r="B12" s="3" t="s">
        <v>192</v>
      </c>
      <c r="C12" s="5" t="str">
        <f aca="false">B12&amp;"| "</f>
        <v>Fordham, Benjamin O., ‘A Very Sharp Sword: The Influence of Military Capabilities on American Decisions to Use Force’, Journal of Conflict Resolution 48/5 (2004), 632–56. doi:10.1177/0022002704267935 | </v>
      </c>
      <c r="D12" s="5" t="str">
        <f aca="false">D11&amp;C12</f>
        <v>Adamsky, Dmitry, The Culture of Military Innovation: The Impact of Cultural Factors on the Revolution in Military Affairs in Russia, the US, and Israel (Stanford Stanford University Press 2010). | Blake, Duncan, ‘Military Strategic Use of Outer Space’, in H. Nasu and R. McLaughlin (eds.) New Technologies and the Law of Armed Conflict (Hague: T.M.C. Asser Press 2014), 97–114. | Breznitz, Dan, ‘The Military as a Public Space: The Role of the IDF in the Israeli Software Innovation System’, MIT Working Paper IPC-02-004 (April 2002). | Brzoska, Michael, ‘Trends in Global Military and Civilian Research and Development (R&amp;D) and Their Changing Interface’, Proceedings of the International Seminar on Defence Finance and Economics 19 (2006). | Buzan, Barry and Eric Herring, The Arms Dynamic in World Politics (Boulder Lynne Rienner 1998). | Caspi-Shabbat, Tali and Or Glik, ‘Mahapechat hameida baolam hamivtsai harav-zroi betzahal [The Information Revolution in the IDF’s Multi-arm Operational World]’, Bein Haktavim 18 (2018), 38–47. | Cheung, Tai Ming, Thomas G. Mahnken, and Andrew L. Ross, ‘Frameworks for Analyzing Chinese Defense and Military Innovation’, in Tai Ming Cheung (ed.) Forging China’s Military Might: A New Framework for Assessing Innovation (Baltimore: Johns Hopkins University Press 2014), 15–46. | Chin, Warren, ‘Technology, War and the State: Past, Present and Future’, International Affairs 95/4 (2019), 765–83. doi:10.1093/ia/iiz106 | Eilam, Uzi, Keshet Eilam: hatechnologia hamitkademet [Eilam’s Arc: How Israel Became a Military Technology Powerhouse] (Tel Aviv Yedioth Ahronoth 2011). | Faglin, Gay, ‘Merutz hachidush: Technologiot mishariot vetzvaiyot beemtzaei lehima – nekudat haizun hamatima [The Innovation Race’: Commercial and Military Technologies in Military Systems – The Right Balance] (Haifa Chaikin Chair in Geostrategy 2018). | Fordham, Benjamin O., ‘A Very Sharp Sword: The Influence of Military Capabilities on American Decisions to Use Force’, Journal of Conflict Resolution 48/5 (2004), 632–56. doi:10.1177/0022002704267935 | </v>
      </c>
    </row>
    <row r="13" customFormat="false" ht="135.8" hidden="false" customHeight="false" outlineLevel="0" collapsed="false">
      <c r="A13" s="4" t="s">
        <v>193</v>
      </c>
      <c r="B13" s="3" t="s">
        <v>194</v>
      </c>
      <c r="C13" s="5" t="str">
        <f aca="false">B13&amp;"| "</f>
        <v>Freilich, Charles D., Israeli National Security: A New Strategy for an Era of Change (New York Oxford University Press 2018). | </v>
      </c>
      <c r="D13" s="5" t="str">
        <f aca="false">D12&amp;C13</f>
        <v>Adamsky, Dmitry, The Culture of Military Innovation: The Impact of Cultural Factors on the Revolution in Military Affairs in Russia, the US, and Israel (Stanford Stanford University Press 2010). | Blake, Duncan, ‘Military Strategic Use of Outer Space’, in H. Nasu and R. McLaughlin (eds.) New Technologies and the Law of Armed Conflict (Hague: T.M.C. Asser Press 2014), 97–114. | Breznitz, Dan, ‘The Military as a Public Space: The Role of the IDF in the Israeli Software Innovation System’, MIT Working Paper IPC-02-004 (April 2002). | Brzoska, Michael, ‘Trends in Global Military and Civilian Research and Development (R&amp;D) and Their Changing Interface’, Proceedings of the International Seminar on Defence Finance and Economics 19 (2006). | Buzan, Barry and Eric Herring, The Arms Dynamic in World Politics (Boulder Lynne Rienner 1998). | Caspi-Shabbat, Tali and Or Glik, ‘Mahapechat hameida baolam hamivtsai harav-zroi betzahal [The Information Revolution in the IDF’s Multi-arm Operational World]’, Bein Haktavim 18 (2018), 38–47. | Cheung, Tai Ming, Thomas G. Mahnken, and Andrew L. Ross, ‘Frameworks for Analyzing Chinese Defense and Military Innovation’, in Tai Ming Cheung (ed.) Forging China’s Military Might: A New Framework for Assessing Innovation (Baltimore: Johns Hopkins University Press 2014), 15–46. | Chin, Warren, ‘Technology, War and the State: Past, Present and Future’, International Affairs 95/4 (2019), 765–83. doi:10.1093/ia/iiz106 | Eilam, Uzi, Keshet Eilam: hatechnologia hamitkademet [Eilam’s Arc: How Israel Became a Military Technology Powerhouse] (Tel Aviv Yedioth Ahronoth 2011). | Faglin, Gay, ‘Merutz hachidush: Technologiot mishariot vetzvaiyot beemtzaei lehima – nekudat haizun hamatima [The Innovation Race’: Commercial and Military Technologies in Military Systems – The Right Balance] (Haifa Chaikin Chair in Geostrategy 2018). | Fordham, Benjamin O., ‘A Very Sharp Sword: The Influence of Military Capabilities on American Decisions to Use Force’, Journal of Conflict Resolution 48/5 (2004), 632–56. doi:10.1177/0022002704267935 | Freilich, Charles D., Israeli National Security: A New Strategy for an Era of Change (New York Oxford University Press 2018). | </v>
      </c>
    </row>
    <row r="14" customFormat="false" ht="135.8" hidden="false" customHeight="false" outlineLevel="0" collapsed="false">
      <c r="A14" s="4" t="s">
        <v>195</v>
      </c>
      <c r="B14" s="3" t="s">
        <v>195</v>
      </c>
      <c r="C14" s="5" t="str">
        <f aca="false">B14&amp;"| "</f>
        <v>Freilich, Charles D., Zion’s Dilemmas: How Israel Makes National Security Policy (Ithaca Cornell University Press 2012). | </v>
      </c>
      <c r="D14" s="5" t="str">
        <f aca="false">D13&amp;C14</f>
        <v>Adamsky, Dmitry, The Culture of Military Innovation: The Impact of Cultural Factors on the Revolution in Military Affairs in Russia, the US, and Israel (Stanford Stanford University Press 2010). | Blake, Duncan, ‘Military Strategic Use of Outer Space’, in H. Nasu and R. McLaughlin (eds.) New Technologies and the Law of Armed Conflict (Hague: T.M.C. Asser Press 2014), 97–114. | Breznitz, Dan, ‘The Military as a Public Space: The Role of the IDF in the Israeli Software Innovation System’, MIT Working Paper IPC-02-004 (April 2002). | Brzoska, Michael, ‘Trends in Global Military and Civilian Research and Development (R&amp;D) and Their Changing Interface’, Proceedings of the International Seminar on Defence Finance and Economics 19 (2006). | Buzan, Barry and Eric Herring, The Arms Dynamic in World Politics (Boulder Lynne Rienner 1998). | Caspi-Shabbat, Tali and Or Glik, ‘Mahapechat hameida baolam hamivtsai harav-zroi betzahal [The Information Revolution in the IDF’s Multi-arm Operational World]’, Bein Haktavim 18 (2018), 38–47. | Cheung, Tai Ming, Thomas G. Mahnken, and Andrew L. Ross, ‘Frameworks for Analyzing Chinese Defense and Military Innovation’, in Tai Ming Cheung (ed.) Forging China’s Military Might: A New Framework for Assessing Innovation (Baltimore: Johns Hopkins University Press 2014), 15–46. | Chin, Warren, ‘Technology, War and the State: Past, Present and Future’, International Affairs 95/4 (2019), 765–83. doi:10.1093/ia/iiz106 | Eilam, Uzi, Keshet Eilam: hatechnologia hamitkademet [Eilam’s Arc: How Israel Became a Military Technology Powerhouse] (Tel Aviv Yedioth Ahronoth 2011). | Faglin, Gay, ‘Merutz hachidush: Technologiot mishariot vetzvaiyot beemtzaei lehima – nekudat haizun hamatima [The Innovation Race’: Commercial and Military Technologies in Military Systems – The Right Balance] (Haifa Chaikin Chair in Geostrategy 2018). | Fordham, Benjamin O., ‘A Very Sharp Sword: The Influence of Military Capabilities on American Decisions to Use Force’, Journal of Conflict Resolution 48/5 (2004), 632–56. doi:10.1177/0022002704267935 | Freilich, Charles D., Israeli National Security: A New Strategy for an Era of Change (New York Oxford University Press 2018). | Freilich, Charles D., Zion’s Dilemmas: How Israel Makes National Security Policy (Ithaca Cornell University Press 2012). | </v>
      </c>
    </row>
    <row r="15" customFormat="false" ht="158.2" hidden="false" customHeight="false" outlineLevel="0" collapsed="false">
      <c r="A15" s="4" t="s">
        <v>196</v>
      </c>
      <c r="B15" s="3" t="s">
        <v>197</v>
      </c>
      <c r="C15" s="5" t="str">
        <f aca="false">B15&amp;"| "</f>
        <v>George, Alexander L., Forceful Persuasion: Coercive Diplomacy as an Alternative to War (Washington, D.C. United States Institute of Peace 1992). | </v>
      </c>
      <c r="D15" s="5" t="str">
        <f aca="false">D14&amp;C15</f>
        <v>Adamsky, Dmitry, The Culture of Military Innovation: The Impact of Cultural Factors on the Revolution in Military Affairs in Russia, the US, and Israel (Stanford Stanford University Press 2010). | Blake, Duncan, ‘Military Strategic Use of Outer Space’, in H. Nasu and R. McLaughlin (eds.) New Technologies and the Law of Armed Conflict (Hague: T.M.C. Asser Press 2014), 97–114. | Breznitz, Dan, ‘The Military as a Public Space: The Role of the IDF in the Israeli Software Innovation System’, MIT Working Paper IPC-02-004 (April 2002). | Brzoska, Michael, ‘Trends in Global Military and Civilian Research and Development (R&amp;D) and Their Changing Interface’, Proceedings of the International Seminar on Defence Finance and Economics 19 (2006). | Buzan, Barry and Eric Herring, The Arms Dynamic in World Politics (Boulder Lynne Rienner 1998). | Caspi-Shabbat, Tali and Or Glik, ‘Mahapechat hameida baolam hamivtsai harav-zroi betzahal [The Information Revolution in the IDF’s Multi-arm Operational World]’, Bein Haktavim 18 (2018), 38–47. | Cheung, Tai Ming, Thomas G. Mahnken, and Andrew L. Ross, ‘Frameworks for Analyzing Chinese Defense and Military Innovation’, in Tai Ming Cheung (ed.) Forging China’s Military Might: A New Framework for Assessing Innovation (Baltimore: Johns Hopkins University Press 2014), 15–46. | Chin, Warren, ‘Technology, War and the State: Past, Present and Future’, International Affairs 95/4 (2019), 765–83. doi:10.1093/ia/iiz106 | Eilam, Uzi, Keshet Eilam: hatechnologia hamitkademet [Eilam’s Arc: How Israel Became a Military Technology Powerhouse] (Tel Aviv Yedioth Ahronoth 2011). | Faglin, Gay, ‘Merutz hachidush: Technologiot mishariot vetzvaiyot beemtzaei lehima – nekudat haizun hamatima [The Innovation Race’: Commercial and Military Technologies in Military Systems – The Right Balance] (Haifa Chaikin Chair in Geostrategy 2018). | Fordham, Benjamin O., ‘A Very Sharp Sword: The Influence of Military Capabilities on American Decisions to Use Force’, Journal of Conflict Resolution 48/5 (2004), 632–56. doi:10.1177/0022002704267935 | Freilich, Charles D., Israeli National Security: A New Strategy for an Era of Change (New York Oxford University Press 2018). | Freilich, Charles D., Zion’s Dilemmas: How Israel Makes National Security Policy (Ithaca Cornell University Press 2012). | George, Alexander L., Forceful Persuasion: Coercive Diplomacy as an Alternative to War (Washington, D.C. United States Institute of Peace 1992). | </v>
      </c>
    </row>
    <row r="16" customFormat="false" ht="169.4" hidden="false" customHeight="false" outlineLevel="0" collapsed="false">
      <c r="A16" s="4" t="s">
        <v>198</v>
      </c>
      <c r="B16" s="3" t="s">
        <v>199</v>
      </c>
      <c r="C16" s="5" t="str">
        <f aca="false">B16&amp;"| "</f>
        <v>Halevy, Hertzi A., Y. (full names unavailable), ‘Elionut modi’init beidan technologi [Intelligence Superiority in a Digital Era]’, Ma’arachot 477 (April 2018), 26–31. | </v>
      </c>
      <c r="D16" s="5" t="str">
        <f aca="false">D15&amp;C16</f>
        <v>Adamsky, Dmitry, The Culture of Military Innovation: The Impact of Cultural Factors on the Revolution in Military Affairs in Russia, the US, and Israel (Stanford Stanford University Press 2010). | Blake, Duncan, ‘Military Strategic Use of Outer Space’, in H. Nasu and R. McLaughlin (eds.) New Technologies and the Law of Armed Conflict (Hague: T.M.C. Asser Press 2014), 97–114. | Breznitz, Dan, ‘The Military as a Public Space: The Role of the IDF in the Israeli Software Innovation System’, MIT Working Paper IPC-02-004 (April 2002). | Brzoska, Michael, ‘Trends in Global Military and Civilian Research and Development (R&amp;D) and Their Changing Interface’, Proceedings of the International Seminar on Defence Finance and Economics 19 (2006). | Buzan, Barry and Eric Herring, The Arms Dynamic in World Politics (Boulder Lynne Rienner 1998). | Caspi-Shabbat, Tali and Or Glik, ‘Mahapechat hameida baolam hamivtsai harav-zroi betzahal [The Information Revolution in the IDF’s Multi-arm Operational World]’, Bein Haktavim 18 (2018), 38–47. | Cheung, Tai Ming, Thomas G. Mahnken, and Andrew L. Ross, ‘Frameworks for Analyzing Chinese Defense and Military Innovation’, in Tai Ming Cheung (ed.) Forging China’s Military Might: A New Framework for Assessing Innovation (Baltimore: Johns Hopkins University Press 2014), 15–46. | Chin, Warren, ‘Technology, War and the State: Past, Present and Future’, International Affairs 95/4 (2019), 765–83. doi:10.1093/ia/iiz106 | Eilam, Uzi, Keshet Eilam: hatechnologia hamitkademet [Eilam’s Arc: How Israel Became a Military Technology Powerhouse] (Tel Aviv Yedioth Ahronoth 2011). | Faglin, Gay, ‘Merutz hachidush: Technologiot mishariot vetzvaiyot beemtzaei lehima – nekudat haizun hamatima [The Innovation Race’: Commercial and Military Technologies in Military Systems – The Right Balance] (Haifa Chaikin Chair in Geostrategy 2018). | Fordham, Benjamin O., ‘A Very Sharp Sword: The Influence of Military Capabilities on American Decisions to Use Force’, Journal of Conflict Resolution 48/5 (2004), 632–56. doi:10.1177/0022002704267935 | Freilich, Charles D., Israeli National Security: A New Strategy for an Era of Change (New York Oxford University Press 2018). | Freilich, Charles D., Zion’s Dilemmas: How Israel Makes National Security Policy (Ithaca Cornell University Press 2012). | George, Alexander L., Forceful Persuasion: Coercive Diplomacy as an Alternative to War (Washington, D.C. United States Institute of Peace 1992). | Halevy, Hertzi A., Y. (full names unavailable), ‘Elionut modi’init beidan technologi [Intelligence Superiority in a Digital Era]’, Ma’arachot 477 (April 2018), 26–31. | </v>
      </c>
    </row>
    <row r="17" customFormat="false" ht="124.6" hidden="false" customHeight="false" outlineLevel="0" collapsed="false">
      <c r="A17" s="4" t="s">
        <v>200</v>
      </c>
      <c r="B17" s="3" t="s">
        <v>201</v>
      </c>
      <c r="C17" s="5" t="str">
        <f aca="false">B17&amp;"| "</f>
        <v>Hershko, Tzila, ‘‘Haroman mithadesh?’ [Is the Love Affair Starting Over?]’, Ma’arachot 456 (2014), 34–37. | </v>
      </c>
      <c r="D17" s="5" t="str">
        <f aca="false">D16&amp;C17</f>
        <v>Adamsky, Dmitry, The Culture of Military Innovation: The Impact of Cultural Factors on the Revolution in Military Affairs in Russia, the US, and Israel (Stanford Stanford University Press 2010). | Blake, Duncan, ‘Military Strategic Use of Outer Space’, in H. Nasu and R. McLaughlin (eds.) New Technologies and the Law of Armed Conflict (Hague: T.M.C. Asser Press 2014), 97–114. | Breznitz, Dan, ‘The Military as a Public Space: The Role of the IDF in the Israeli Software Innovation System’, MIT Working Paper IPC-02-004 (April 2002). | Brzoska, Michael, ‘Trends in Global Military and Civilian Research and Development (R&amp;D) and Their Changing Interface’, Proceedings of the International Seminar on Defence Finance and Economics 19 (2006). | Buzan, Barry and Eric Herring, The Arms Dynamic in World Politics (Boulder Lynne Rienner 1998). | Caspi-Shabbat, Tali and Or Glik, ‘Mahapechat hameida baolam hamivtsai harav-zroi betzahal [The Information Revolution in the IDF’s Multi-arm Operational World]’, Bein Haktavim 18 (2018), 38–47. | Cheung, Tai Ming, Thomas G. Mahnken, and Andrew L. Ross, ‘Frameworks for Analyzing Chinese Defense and Military Innovation’, in Tai Ming Cheung (ed.) Forging China’s Military Might: A New Framework for Assessing Innovation (Baltimore: Johns Hopkins University Press 2014), 15–46. | Chin, Warren, ‘Technology, War and the State: Past, Present and Future’, International Affairs 95/4 (2019), 765–83. doi:10.1093/ia/iiz106 | Eilam, Uzi, Keshet Eilam: hatechnologia hamitkademet [Eilam’s Arc: How Israel Became a Military Technology Powerhouse] (Tel Aviv Yedioth Ahronoth 2011). | Faglin, Gay, ‘Merutz hachidush: Technologiot mishariot vetzvaiyot beemtzaei lehima – nekudat haizun hamatima [The Innovation Race’: Commercial and Military Technologies in Military Systems – The Right Balance] (Haifa Chaikin Chair in Geostrategy 2018). | Fordham, Benjamin O., ‘A Very Sharp Sword: The Influence of Military Capabilities on American Decisions to Use Force’, Journal of Conflict Resolution 48/5 (2004), 632–56. doi:10.1177/0022002704267935 | Freilich, Charles D., Israeli National Security: A New Strategy for an Era of Change (New York Oxford University Press 2018). | Freilich, Charles D., Zion’s Dilemmas: How Israel Makes National Security Policy (Ithaca Cornell University Press 2012). | George, Alexander L., Forceful Persuasion: Coercive Diplomacy as an Alternative to War (Washington, D.C. United States Institute of Peace 1992). | Halevy, Hertzi A., Y. (full names unavailable), ‘Elionut modi’init beidan technologi [Intelligence Superiority in a Digital Era]’, Ma’arachot 477 (April 2018), 26–31. | Hershko, Tzila, ‘‘Haroman mithadesh?’ [Is the Love Affair Starting Over?]’, Ma’arachot 456 (2014), 34–37. | </v>
      </c>
    </row>
    <row r="18" customFormat="false" ht="113.4" hidden="false" customHeight="false" outlineLevel="0" collapsed="false">
      <c r="A18" s="4" t="s">
        <v>202</v>
      </c>
      <c r="B18" s="3" t="s">
        <v>202</v>
      </c>
      <c r="C18" s="5" t="str">
        <f aca="false">B18&amp;"| "</f>
        <v>Holley, I. B., Technology and Military Doctrine: Essays on a Challenging Relationship (Maxwell Air University Press 2004). | </v>
      </c>
      <c r="D18" s="5" t="str">
        <f aca="false">D17&amp;C18</f>
        <v>Adamsky, Dmitry, The Culture of Military Innovation: The Impact of Cultural Factors on the Revolution in Military Affairs in Russia, the US, and Israel (Stanford Stanford University Press 2010). | Blake, Duncan, ‘Military Strategic Use of Outer Space’, in H. Nasu and R. McLaughlin (eds.) New Technologies and the Law of Armed Conflict (Hague: T.M.C. Asser Press 2014), 97–114. | Breznitz, Dan, ‘The Military as a Public Space: The Role of the IDF in the Israeli Software Innovation System’, MIT Working Paper IPC-02-004 (April 2002). | Brzoska, Michael, ‘Trends in Global Military and Civilian Research and Development (R&amp;D) and Their Changing Interface’, Proceedings of the International Seminar on Defence Finance and Economics 19 (2006). | Buzan, Barry and Eric Herring, The Arms Dynamic in World Politics (Boulder Lynne Rienner 1998). | Caspi-Shabbat, Tali and Or Glik, ‘Mahapechat hameida baolam hamivtsai harav-zroi betzahal [The Information Revolution in the IDF’s Multi-arm Operational World]’, Bein Haktavim 18 (2018), 38–47. | Cheung, Tai Ming, Thomas G. Mahnken, and Andrew L. Ross, ‘Frameworks for Analyzing Chinese Defense and Military Innovation’, in Tai Ming Cheung (ed.) Forging China’s Military Might: A New Framework for Assessing Innovation (Baltimore: Johns Hopkins University Press 2014), 15–46. | Chin, Warren, ‘Technology, War and the State: Past, Present and Future’, International Affairs 95/4 (2019), 765–83. doi:10.1093/ia/iiz106 | Eilam, Uzi, Keshet Eilam: hatechnologia hamitkademet [Eilam’s Arc: How Israel Became a Military Technology Powerhouse] (Tel Aviv Yedioth Ahronoth 2011). | Faglin, Gay, ‘Merutz hachidush: Technologiot mishariot vetzvaiyot beemtzaei lehima – nekudat haizun hamatima [The Innovation Race’: Commercial and Military Technologies in Military Systems – The Right Balance] (Haifa Chaikin Chair in Geostrategy 2018). | Fordham, Benjamin O., ‘A Very Sharp Sword: The Influence of Military Capabilities on American Decisions to Use Force’, Journal of Conflict Resolution 48/5 (2004), 632–56. doi:10.1177/0022002704267935 | Freilich, Charles D., Israeli National Security: A New Strategy for an Era of Change (New York Oxford University Press 2018). | Freilich, Charles D., Zion’s Dilemmas: How Israel Makes National Security Policy (Ithaca Cornell University Press 2012). | George, Alexander L., Forceful Persuasion: Coercive Diplomacy as an Alternative to War (Washington, D.C. United States Institute of Peace 1992). | Halevy, Hertzi A., Y. (full names unavailable), ‘Elionut modi’init beidan technologi [Intelligence Superiority in a Digital Era]’, Ma’arachot 477 (April 2018), 26–31. | Hershko, Tzila, ‘‘Haroman mithadesh?’ [Is the Love Affair Starting Over?]’, Ma’arachot 456 (2014), 34–37. | Holley, I. B., Technology and Military Doctrine: Essays on a Challenging Relationship (Maxwell Air University Press 2004). | </v>
      </c>
    </row>
    <row r="19" customFormat="false" ht="258.95" hidden="false" customHeight="false" outlineLevel="0" collapsed="false">
      <c r="A19" s="4" t="s">
        <v>203</v>
      </c>
      <c r="B19" s="3" t="s">
        <v>203</v>
      </c>
      <c r="C19" s="5" t="str">
        <f aca="false">B19&amp;"| "</f>
        <v>Honig, Benson, Miri Lerner, and Yoel Raban, ‘Social Capital and the Linkages of High-Tech Companies to the Military Defense System: Is There a Signalling Mechanism?’, Small Business Economics 27/4–5 (2006), 419–37. doi:10.1007/s11187-005-5644-y | </v>
      </c>
      <c r="D19" s="5" t="str">
        <f aca="false">D18&amp;C19</f>
        <v>Adamsky, Dmitry, The Culture of Military Innovation: The Impact of Cultural Factors on the Revolution in Military Affairs in Russia, the US, and Israel (Stanford Stanford University Press 2010). | Blake, Duncan, ‘Military Strategic Use of Outer Space’, in H. Nasu and R. McLaughlin (eds.) New Technologies and the Law of Armed Conflict (Hague: T.M.C. Asser Press 2014), 97–114. | Breznitz, Dan, ‘The Military as a Public Space: The Role of the IDF in the Israeli Software Innovation System’, MIT Working Paper IPC-02-004 (April 2002). | Brzoska, Michael, ‘Trends in Global Military and Civilian Research and Development (R&amp;D) and Their Changing Interface’, Proceedings of the International Seminar on Defence Finance and Economics 19 (2006). | Buzan, Barry and Eric Herring, The Arms Dynamic in World Politics (Boulder Lynne Rienner 1998). | Caspi-Shabbat, Tali and Or Glik, ‘Mahapechat hameida baolam hamivtsai harav-zroi betzahal [The Information Revolution in the IDF’s Multi-arm Operational World]’, Bein Haktavim 18 (2018), 38–47. | Cheung, Tai Ming, Thomas G. Mahnken, and Andrew L. Ross, ‘Frameworks for Analyzing Chinese Defense and Military Innovation’, in Tai Ming Cheung (ed.) Forging China’s Military Might: A New Framework for Assessing Innovation (Baltimore: Johns Hopkins University Press 2014), 15–46. | Chin, Warren, ‘Technology, War and the State: Past, Present and Future’, International Affairs 95/4 (2019), 765–83. doi:10.1093/ia/iiz106 | Eilam, Uzi, Keshet Eilam: hatechnologia hamitkademet [Eilam’s Arc: How Israel Became a Military Technology Powerhouse] (Tel Aviv Yedioth Ahronoth 2011). | Faglin, Gay, ‘Merutz hachidush: Technologiot mishariot vetzvaiyot beemtzaei lehima – nekudat haizun hamatima [The Innovation Race’: Commercial and Military Technologies in Military Systems – The Right Balance] (Haifa Chaikin Chair in Geostrategy 2018). | Fordham, Benjamin O., ‘A Very Sharp Sword: The Influence of Military Capabilities on American Decisions to Use Force’, Journal of Conflict Resolution 48/5 (2004), 632–56. doi:10.1177/0022002704267935 | Freilich, Charles D., Israeli National Security: A New Strategy for an Era of Change (New York Oxford University Press 2018). | Freilich, Charles D., Zion’s Dilemmas: How Israel Makes National Security Policy (Ithaca Cornell University Press 2012). | George, Alexander L., Forceful Persuasion: Coercive Diplomacy as an Alternative to War (Washington, D.C. United States Institute of Peace 1992). | Halevy, Hertzi A., Y. (full names unavailable), ‘Elionut modi’init beidan technologi [Intelligence Superiority in a Digital Era]’, Ma’arachot 477 (April 2018), 26–31. | Hershko, Tzila, ‘‘Haroman mithadesh?’ [Is the Love Affair Starting Over?]’, Ma’arachot 456 (2014), 34–37. | Holley, I. B., Technology and Military Doctrine: Essays on a Challenging Relationship (Maxwell Air University Press 2004). | Honig, Benson, Miri Lerner, and Yoel Raban, ‘Social Capital and the Linkages of High-Tech Companies to the Military Defense System: Is There a Signalling Mechanism?’, Small Business Economics 27/4–5 (2006), 419–37. doi:10.1007/s11187-005-5644-y | </v>
      </c>
    </row>
    <row r="20" customFormat="false" ht="214.15" hidden="false" customHeight="false" outlineLevel="0" collapsed="false">
      <c r="A20" s="4" t="s">
        <v>204</v>
      </c>
      <c r="B20" s="3" t="s">
        <v>204</v>
      </c>
      <c r="C20" s="5" t="str">
        <f aca="false">B20&amp;"| "</f>
        <v>Jones, Clive and Yoel Guzansky, ‘Israel’s Relations with the Gulf States: Toward the Emergence of a Tacit Security Regime?’, Contemporary Security Policy 38/3 (2017), 398–419. doi:10.1080/13523260.2017.1292375 | </v>
      </c>
      <c r="D20" s="5" t="str">
        <f aca="false">D19&amp;C20</f>
        <v>Adamsky, Dmitry, The Culture of Military Innovation: The Impact of Cultural Factors on the Revolution in Military Affairs in Russia, the US, and Israel (Stanford Stanford University Press 2010). | Blake, Duncan, ‘Military Strategic Use of Outer Space’, in H. Nasu and R. McLaughlin (eds.) New Technologies and the Law of Armed Conflict (Hague: T.M.C. Asser Press 2014), 97–114. | Breznitz, Dan, ‘The Military as a Public Space: The Role of the IDF in the Israeli Software Innovation System’, MIT Working Paper IPC-02-004 (April 2002). | Brzoska, Michael, ‘Trends in Global Military and Civilian Research and Development (R&amp;D) and Their Changing Interface’, Proceedings of the International Seminar on Defence Finance and Economics 19 (2006). | Buzan, Barry and Eric Herring, The Arms Dynamic in World Politics (Boulder Lynne Rienner 1998). | Caspi-Shabbat, Tali and Or Glik, ‘Mahapechat hameida baolam hamivtsai harav-zroi betzahal [The Information Revolution in the IDF’s Multi-arm Operational World]’, Bein Haktavim 18 (2018), 38–47. | Cheung, Tai Ming, Thomas G. Mahnken, and Andrew L. Ross, ‘Frameworks for Analyzing Chinese Defense and Military Innovation’, in Tai Ming Cheung (ed.) Forging China’s Military Might: A New Framework for Assessing Innovation (Baltimore: Johns Hopkins University Press 2014), 15–46. | Chin, Warren, ‘Technology, War and the State: Past, Present and Future’, International Affairs 95/4 (2019), 765–83. doi:10.1093/ia/iiz106 | Eilam, Uzi, Keshet Eilam: hatechnologia hamitkademet [Eilam’s Arc: How Israel Became a Military Technology Powerhouse] (Tel Aviv Yedioth Ahronoth 2011). | Faglin, Gay, ‘Merutz hachidush: Technologiot mishariot vetzvaiyot beemtzaei lehima – nekudat haizun hamatima [The Innovation Race’: Commercial and Military Technologies in Military Systems – The Right Balance] (Haifa Chaikin Chair in Geostrategy 2018). | Fordham, Benjamin O., ‘A Very Sharp Sword: The Influence of Military Capabilities on American Decisions to Use Force’, Journal of Conflict Resolution 48/5 (2004), 632–56. doi:10.1177/0022002704267935 | Freilich, Charles D., Israeli National Security: A New Strategy for an Era of Change (New York Oxford University Press 2018). | Freilich, Charles D., Zion’s Dilemmas: How Israel Makes National Security Policy (Ithaca Cornell University Press 2012). | George, Alexander L., Forceful Persuasion: Coercive Diplomacy as an Alternative to War (Washington, D.C. United States Institute of Peace 1992). | Halevy, Hertzi A., Y. (full names unavailable), ‘Elionut modi’init beidan technologi [Intelligence Superiority in a Digital Era]’, Ma’arachot 477 (April 2018), 26–31. | Hershko, Tzila, ‘‘Haroman mithadesh?’ [Is the Love Affair Starting Over?]’, Ma’arachot 456 (2014), 34–37. | Holley, I. B., Technology and Military Doctrine: Essays on a Challenging Relationship (Maxwell Air University Press 2004). | Honig, Benson, Miri Lerner, and Yoel Raban, ‘Social Capital and the Linkages of High-Tech Companies to the Military Defense System: Is There a Signalling Mechanism?’, Small Business Economics 27/4–5 (2006), 419–37. doi:10.1007/s11187-005-5644-y | Jones, Clive and Yoel Guzansky, ‘Israel’s Relations with the Gulf States: Toward the Emergence of a Tacit Security Regime?’, Contemporary Security Policy 38/3 (2017), 398–419. doi:10.1080/13523260.2017.1292375 | </v>
      </c>
    </row>
    <row r="21" customFormat="false" ht="147" hidden="false" customHeight="false" outlineLevel="0" collapsed="false">
      <c r="A21" s="4" t="s">
        <v>205</v>
      </c>
      <c r="B21" s="3" t="s">
        <v>206</v>
      </c>
      <c r="C21" s="5" t="str">
        <f aca="false">B21&amp;"| "</f>
        <v>Katz, Yaakov and Amir Bohbot, The Weapon Wizards: How Israel Became a High-Tech Military Superpower (New York: St. Martin’s Press 2017). | </v>
      </c>
      <c r="D21" s="5" t="str">
        <f aca="false">D20&amp;C21</f>
        <v>Adamsky, Dmitry, The Culture of Military Innovation: The Impact of Cultural Factors on the Revolution in Military Affairs in Russia, the US, and Israel (Stanford Stanford University Press 2010). | Blake, Duncan, ‘Military Strategic Use of Outer Space’, in H. Nasu and R. McLaughlin (eds.) New Technologies and the Law of Armed Conflict (Hague: T.M.C. Asser Press 2014), 97–114. | Breznitz, Dan, ‘The Military as a Public Space: The Role of the IDF in the Israeli Software Innovation System’, MIT Working Paper IPC-02-004 (April 2002). | Brzoska, Michael, ‘Trends in Global Military and Civilian Research and Development (R&amp;D) and Their Changing Interface’, Proceedings of the International Seminar on Defence Finance and Economics 19 (2006). | Buzan, Barry and Eric Herring, The Arms Dynamic in World Politics (Boulder Lynne Rienner 1998). | Caspi-Shabbat, Tali and Or Glik, ‘Mahapechat hameida baolam hamivtsai harav-zroi betzahal [The Information Revolution in the IDF’s Multi-arm Operational World]’, Bein Haktavim 18 (2018), 38–47. | Cheung, Tai Ming, Thomas G. Mahnken, and Andrew L. Ross, ‘Frameworks for Analyzing Chinese Defense and Military Innovation’, in Tai Ming Cheung (ed.) Forging China’s Military Might: A New Framework for Assessing Innovation (Baltimore: Johns Hopkins University Press 2014), 15–46. | Chin, Warren, ‘Technology, War and the State: Past, Present and Future’, International Affairs 95/4 (2019), 765–83. doi:10.1093/ia/iiz106 | Eilam, Uzi, Keshet Eilam: hatechnologia hamitkademet [Eilam’s Arc: How Israel Became a Military Technology Powerhouse] (Tel Aviv Yedioth Ahronoth 2011). | Faglin, Gay, ‘Merutz hachidush: Technologiot mishariot vetzvaiyot beemtzaei lehima – nekudat haizun hamatima [The Innovation Race’: Commercial and Military Technologies in Military Systems – The Right Balance] (Haifa Chaikin Chair in Geostrategy 2018). | Fordham, Benjamin O., ‘A Very Sharp Sword: The Influence of Military Capabilities on American Decisions to Use Force’, Journal of Conflict Resolution 48/5 (2004), 632–56. doi:10.1177/0022002704267935 | Freilich, Charles D., Israeli National Security: A New Strategy for an Era of Change (New York Oxford University Press 2018). | Freilich, Charles D., Zion’s Dilemmas: How Israel Makes National Security Policy (Ithaca Cornell University Press 2012). | George, Alexander L., Forceful Persuasion: Coercive Diplomacy as an Alternative to War (Washington, D.C. United States Institute of Peace 1992). | Halevy, Hertzi A., Y. (full names unavailable), ‘Elionut modi’init beidan technologi [Intelligence Superiority in a Digital Era]’, Ma’arachot 477 (April 2018), 26–31. | Hershko, Tzila, ‘‘Haroman mithadesh?’ [Is the Love Affair Starting Over?]’, Ma’arachot 456 (2014), 34–37. | Holley, I. B., Technology and Military Doctrine: Essays on a Challenging Relationship (Maxwell Air University Press 2004). | Honig, Benson, Miri Lerner, and Yoel Raban, ‘Social Capital and the Linkages of High-Tech Companies to the Military Defense System: Is There a Signalling Mechanism?’, Small Business Economics 27/4–5 (2006), 419–37. doi:10.1007/s11187-005-5644-y | Jones, Clive and Yoel Guzansky, ‘Israel’s Relations with the Gulf States: Toward the Emergence of a Tacit Security Regime?’, Contemporary Security Policy 38/3 (2017), 398–419. doi:10.1080/13523260.2017.1292375 | Katz, Yaakov and Amir Bohbot, The Weapon Wizards: How Israel Became a High-Tech Military Superpower (New York: St. Martin’s Press 2017). | </v>
      </c>
    </row>
    <row r="22" customFormat="false" ht="124.6" hidden="false" customHeight="false" outlineLevel="0" collapsed="false">
      <c r="A22" s="4" t="s">
        <v>207</v>
      </c>
      <c r="B22" s="3" t="s">
        <v>208</v>
      </c>
      <c r="C22" s="5" t="str">
        <f aca="false">B22&amp;"| "</f>
        <v>Krepinevich, Andrew, ‘Cavalry to Computer: The Pattern of Military Revolutions’, The National Interest 37 (1994), 30–42. | </v>
      </c>
      <c r="D22" s="5" t="str">
        <f aca="false">D21&amp;C22</f>
        <v>Adamsky, Dmitry, The Culture of Military Innovation: The Impact of Cultural Factors on the Revolution in Military Affairs in Russia, the US, and Israel (Stanford Stanford University Press 2010). | Blake, Duncan, ‘Military Strategic Use of Outer Space’, in H. Nasu and R. McLaughlin (eds.) New Technologies and the Law of Armed Conflict (Hague: T.M.C. Asser Press 2014), 97–114. | Breznitz, Dan, ‘The Military as a Public Space: The Role of the IDF in the Israeli Software Innovation System’, MIT Working Paper IPC-02-004 (April 2002). | Brzoska, Michael, ‘Trends in Global Military and Civilian Research and Development (R&amp;D) and Their Changing Interface’, Proceedings of the International Seminar on Defence Finance and Economics 19 (2006). | Buzan, Barry and Eric Herring, The Arms Dynamic in World Politics (Boulder Lynne Rienner 1998). | Caspi-Shabbat, Tali and Or Glik, ‘Mahapechat hameida baolam hamivtsai harav-zroi betzahal [The Information Revolution in the IDF’s Multi-arm Operational World]’, Bein Haktavim 18 (2018), 38–47. | Cheung, Tai Ming, Thomas G. Mahnken, and Andrew L. Ross, ‘Frameworks for Analyzing Chinese Defense and Military Innovation’, in Tai Ming Cheung (ed.) Forging China’s Military Might: A New Framework for Assessing Innovation (Baltimore: Johns Hopkins University Press 2014), 15–46. | Chin, Warren, ‘Technology, War and the State: Past, Present and Future’, International Affairs 95/4 (2019), 765–83. doi:10.1093/ia/iiz106 | Eilam, Uzi, Keshet Eilam: hatechnologia hamitkademet [Eilam’s Arc: How Israel Became a Military Technology Powerhouse] (Tel Aviv Yedioth Ahronoth 2011). | Faglin, Gay, ‘Merutz hachidush: Technologiot mishariot vetzvaiyot beemtzaei lehima – nekudat haizun hamatima [The Innovation Race’: Commercial and Military Technologies in Military Systems – The Right Balance] (Haifa Chaikin Chair in Geostrategy 2018). | Fordham, Benjamin O., ‘A Very Sharp Sword: The Influence of Military Capabilities on American Decisions to Use Force’, Journal of Conflict Resolution 48/5 (2004), 632–56. doi:10.1177/0022002704267935 | Freilich, Charles D., Israeli National Security: A New Strategy for an Era of Change (New York Oxford University Press 2018). | Freilich, Charles D., Zion’s Dilemmas: How Israel Makes National Security Policy (Ithaca Cornell University Press 2012). | George, Alexander L., Forceful Persuasion: Coercive Diplomacy as an Alternative to War (Washington, D.C. United States Institute of Peace 1992). | Halevy, Hertzi A., Y. (full names unavailable), ‘Elionut modi’init beidan technologi [Intelligence Superiority in a Digital Era]’, Ma’arachot 477 (April 2018), 26–31. | Hershko, Tzila, ‘‘Haroman mithadesh?’ [Is the Love Affair Starting Over?]’, Ma’arachot 456 (2014), 34–37. | Holley, I. B., Technology and Military Doctrine: Essays on a Challenging Relationship (Maxwell Air University Press 2004). | Honig, Benson, Miri Lerner, and Yoel Raban, ‘Social Capital and the Linkages of High-Tech Companies to the Military Defense System: Is There a Signalling Mechanism?’, Small Business Economics 27/4–5 (2006), 419–37. doi:10.1007/s11187-005-5644-y | Jones, Clive and Yoel Guzansky, ‘Israel’s Relations with the Gulf States: Toward the Emergence of a Tacit Security Regime?’, Contemporary Security Policy 38/3 (2017), 398–419. doi:10.1080/13523260.2017.1292375 | Katz, Yaakov and Amir Bohbot, The Weapon Wizards: How Israel Became a High-Tech Military Superpower (New York: St. Martin’s Press 2017). | Krepinevich, Andrew, ‘Cavalry to Computer: The Pattern of Military Revolutions’, The National Interest 37 (1994), 30–42. | </v>
      </c>
    </row>
    <row r="23" customFormat="false" ht="225.35" hidden="false" customHeight="false" outlineLevel="0" collapsed="false">
      <c r="A23" s="4" t="s">
        <v>209</v>
      </c>
      <c r="B23" s="3" t="s">
        <v>210</v>
      </c>
      <c r="C23" s="5" t="str">
        <f aca="false">B23&amp;"| "</f>
        <v>Lehman, Ronald F., ‘Future Technology and Strategic Stability’, in Elbridge A. Colby and Michael S. Gerson (eds.) Strategic Stability: Contending Interpretations (Carlisle: U.S. Army War College Press 2013), 147–99. | </v>
      </c>
      <c r="D23" s="5" t="str">
        <f aca="false">D22&amp;C23</f>
        <v>Adamsky, Dmitry, The Culture of Military Innovation: The Impact of Cultural Factors on the Revolution in Military Affairs in Russia, the US, and Israel (Stanford Stanford University Press 2010). | Blake, Duncan, ‘Military Strategic Use of Outer Space’, in H. Nasu and R. McLaughlin (eds.) New Technologies and the Law of Armed Conflict (Hague: T.M.C. Asser Press 2014), 97–114. | Breznitz, Dan, ‘The Military as a Public Space: The Role of the IDF in the Israeli Software Innovation System’, MIT Working Paper IPC-02-004 (April 2002). | Brzoska, Michael, ‘Trends in Global Military and Civilian Research and Development (R&amp;D) and Their Changing Interface’, Proceedings of the International Seminar on Defence Finance and Economics 19 (2006). | Buzan, Barry and Eric Herring, The Arms Dynamic in World Politics (Boulder Lynne Rienner 1998). | Caspi-Shabbat, Tali and Or Glik, ‘Mahapechat hameida baolam hamivtsai harav-zroi betzahal [The Information Revolution in the IDF’s Multi-arm Operational World]’, Bein Haktavim 18 (2018), 38–47. | Cheung, Tai Ming, Thomas G. Mahnken, and Andrew L. Ross, ‘Frameworks for Analyzing Chinese Defense and Military Innovation’, in Tai Ming Cheung (ed.) Forging China’s Military Might: A New Framework for Assessing Innovation (Baltimore: Johns Hopkins University Press 2014), 15–46. | Chin, Warren, ‘Technology, War and the State: Past, Present and Future’, International Affairs 95/4 (2019), 765–83. doi:10.1093/ia/iiz106 | Eilam, Uzi, Keshet Eilam: hatechnologia hamitkademet [Eilam’s Arc: How Israel Became a Military Technology Powerhouse] (Tel Aviv Yedioth Ahronoth 2011). | Faglin, Gay, ‘Merutz hachidush: Technologiot mishariot vetzvaiyot beemtzaei lehima – nekudat haizun hamatima [The Innovation Race’: Commercial and Military Technologies in Military Systems – The Right Balance] (Haifa Chaikin Chair in Geostrategy 2018). | Fordham, Benjamin O., ‘A Very Sharp Sword: The Influence of Military Capabilities on American Decisions to Use Force’, Journal of Conflict Resolution 48/5 (2004), 632–56. doi:10.1177/0022002704267935 | Freilich, Charles D., Israeli National Security: A New Strategy for an Era of Change (New York Oxford University Press 2018). | Freilich, Charles D., Zion’s Dilemmas: How Israel Makes National Security Policy (Ithaca Cornell University Press 2012). | George, Alexander L., Forceful Persuasion: Coercive Diplomacy as an Alternative to War (Washington, D.C. United States Institute of Peace 1992). | Halevy, Hertzi A., Y. (full names unavailable), ‘Elionut modi’init beidan technologi [Intelligence Superiority in a Digital Era]’, Ma’arachot 477 (April 2018), 26–31. | Hershko, Tzila, ‘‘Haroman mithadesh?’ [Is the Love Affair Starting Over?]’, Ma’arachot 456 (2014), 34–37. | Holley, I. B., Technology and Military Doctrine: Essays on a Challenging Relationship (Maxwell Air University Press 2004). | Honig, Benson, Miri Lerner, and Yoel Raban, ‘Social Capital and the Linkages of High-Tech Companies to the Military Defense System: Is There a Signalling Mechanism?’, Small Business Economics 27/4–5 (2006), 419–37. doi:10.1007/s11187-005-5644-y | Jones, Clive and Yoel Guzansky, ‘Israel’s Relations with the Gulf States: Toward the Emergence of a Tacit Security Regime?’, Contemporary Security Policy 38/3 (2017), 398–419. doi:10.1080/13523260.2017.1292375 | Katz, Yaakov and Amir Bohbot, The Weapon Wizards: How Israel Became a High-Tech Military Superpower (New York: St. Martin’s Press 2017). | Krepinevich, Andrew, ‘Cavalry to Computer: The Pattern of Military Revolutions’, The National Interest 37 (1994), 30–42. | Lehman, Ronald F., ‘Future Technology and Strategic Stability’, in Elbridge A. Colby and Michael S. Gerson (eds.) Strategic Stability: Contending Interpretations (Carlisle: U.S. Army War College Press 2013), 147–99. | </v>
      </c>
    </row>
    <row r="24" customFormat="false" ht="91" hidden="false" customHeight="false" outlineLevel="0" collapsed="false">
      <c r="A24" s="4" t="s">
        <v>211</v>
      </c>
      <c r="B24" s="3" t="s">
        <v>211</v>
      </c>
      <c r="C24" s="5" t="str">
        <f aca="false">B24&amp;"| "</f>
        <v>Levite, Ariel, Offense and Defense in Israeli Military Doctrine (New York Routledge 2019). | </v>
      </c>
      <c r="D24" s="5" t="str">
        <f aca="false">D23&amp;C24</f>
        <v>Adamsky, Dmitry, The Culture of Military Innovation: The Impact of Cultural Factors on the Revolution in Military Affairs in Russia, the US, and Israel (Stanford Stanford University Press 2010). | Blake, Duncan, ‘Military Strategic Use of Outer Space’, in H. Nasu and R. McLaughlin (eds.) New Technologies and the Law of Armed Conflict (Hague: T.M.C. Asser Press 2014), 97–114. | Breznitz, Dan, ‘The Military as a Public Space: The Role of the IDF in the Israeli Software Innovation System’, MIT Working Paper IPC-02-004 (April 2002). | Brzoska, Michael, ‘Trends in Global Military and Civilian Research and Development (R&amp;D) and Their Changing Interface’, Proceedings of the International Seminar on Defence Finance and Economics 19 (2006). | Buzan, Barry and Eric Herring, The Arms Dynamic in World Politics (Boulder Lynne Rienner 1998). | Caspi-Shabbat, Tali and Or Glik, ‘Mahapechat hameida baolam hamivtsai harav-zroi betzahal [The Information Revolution in the IDF’s Multi-arm Operational World]’, Bein Haktavim 18 (2018), 38–47. | Cheung, Tai Ming, Thomas G. Mahnken, and Andrew L. Ross, ‘Frameworks for Analyzing Chinese Defense and Military Innovation’, in Tai Ming Cheung (ed.) Forging China’s Military Might: A New Framework for Assessing Innovation (Baltimore: Johns Hopkins University Press 2014), 15–46. | Chin, Warren, ‘Technology, War and the State: Past, Present and Future’, International Affairs 95/4 (2019), 765–83. doi:10.1093/ia/iiz106 | Eilam, Uzi, Keshet Eilam: hatechnologia hamitkademet [Eilam’s Arc: How Israel Became a Military Technology Powerhouse] (Tel Aviv Yedioth Ahronoth 2011). | Faglin, Gay, ‘Merutz hachidush: Technologiot mishariot vetzvaiyot beemtzaei lehima – nekudat haizun hamatima [The Innovation Race’: Commercial and Military Technologies in Military Systems – The Right Balance] (Haifa Chaikin Chair in Geostrategy 2018). | Fordham, Benjamin O., ‘A Very Sharp Sword: The Influence of Military Capabilities on American Decisions to Use Force’, Journal of Conflict Resolution 48/5 (2004), 632–56. doi:10.1177/0022002704267935 | Freilich, Charles D., Israeli National Security: A New Strategy for an Era of Change (New York Oxford University Press 2018). | Freilich, Charles D., Zion’s Dilemmas: How Israel Makes National Security Policy (Ithaca Cornell University Press 2012). | George, Alexander L., Forceful Persuasion: Coercive Diplomacy as an Alternative to War (Washington, D.C. United States Institute of Peace 1992). | Halevy, Hertzi A., Y. (full names unavailable), ‘Elionut modi’init beidan technologi [Intelligence Superiority in a Digital Era]’, Ma’arachot 477 (April 2018), 26–31. | Hershko, Tzila, ‘‘Haroman mithadesh?’ [Is the Love Affair Starting Over?]’, Ma’arachot 456 (2014), 34–37. | Holley, I. B., Technology and Military Doctrine: Essays on a Challenging Relationship (Maxwell Air University Press 2004). | Honig, Benson, Miri Lerner, and Yoel Raban, ‘Social Capital and the Linkages of High-Tech Companies to the Military Defense System: Is There a Signalling Mechanism?’, Small Business Economics 27/4–5 (2006), 419–37. doi:10.1007/s11187-005-5644-y | Jones, Clive and Yoel Guzansky, ‘Israel’s Relations with the Gulf States: Toward the Emergence of a Tacit Security Regime?’, Contemporary Security Policy 38/3 (2017), 398–419. doi:10.1080/13523260.2017.1292375 | Katz, Yaakov and Amir Bohbot, The Weapon Wizards: How Israel Became a High-Tech Military Superpower (New York: St. Martin’s Press 2017). | Krepinevich, Andrew, ‘Cavalry to Computer: The Pattern of Military Revolutions’, The National Interest 37 (1994), 30–42. | Lehman, Ronald F., ‘Future Technology and Strategic Stability’, in Elbridge A. Colby and Michael S. Gerson (eds.) Strategic Stability: Contending Interpretations (Carlisle: U.S. Army War College Press 2013), 147–99. | Levite, Ariel, Offense and Defense in Israeli Military Doctrine (New York Routledge 2019). | </v>
      </c>
    </row>
    <row r="25" customFormat="false" ht="225.35" hidden="false" customHeight="false" outlineLevel="0" collapsed="false">
      <c r="A25" s="4" t="s">
        <v>212</v>
      </c>
      <c r="B25" s="3" t="s">
        <v>213</v>
      </c>
      <c r="C25" s="5" t="str">
        <f aca="false">B25&amp;"| "</f>
        <v>Levy, Yagil, ‘Social Convertibility and Militarism: Evaluations of the Development of Military-Society Relations in Israel in the Early 2000s’, Journal of Political and Military Sociology 31/1 (2003), 71–96. | </v>
      </c>
      <c r="D25" s="5" t="str">
        <f aca="false">D24&amp;C25</f>
        <v>Adamsky, Dmitry, The Culture of Military Innovation: The Impact of Cultural Factors on the Revolution in Military Affairs in Russia, the US, and Israel (Stanford Stanford University Press 2010). | Blake, Duncan, ‘Military Strategic Use of Outer Space’, in H. Nasu and R. McLaughlin (eds.) New Technologies and the Law of Armed Conflict (Hague: T.M.C. Asser Press 2014), 97–114. | Breznitz, Dan, ‘The Military as a Public Space: The Role of the IDF in the Israeli Software Innovation System’, MIT Working Paper IPC-02-004 (April 2002). | Brzoska, Michael, ‘Trends in Global Military and Civilian Research and Development (R&amp;D) and Their Changing Interface’, Proceedings of the International Seminar on Defence Finance and Economics 19 (2006). | Buzan, Barry and Eric Herring, The Arms Dynamic in World Politics (Boulder Lynne Rienner 1998). | Caspi-Shabbat, Tali and Or Glik, ‘Mahapechat hameida baolam hamivtsai harav-zroi betzahal [The Information Revolution in the IDF’s Multi-arm Operational World]’, Bein Haktavim 18 (2018), 38–47. | Cheung, Tai Ming, Thomas G. Mahnken, and Andrew L. Ross, ‘Frameworks for Analyzing Chinese Defense and Military Innovation’, in Tai Ming Cheung (ed.) Forging China’s Military Might: A New Framework for Assessing Innovation (Baltimore: Johns Hopkins University Press 2014), 15–46. | Chin, Warren, ‘Technology, War and the State: Past, Present and Future’, International Affairs 95/4 (2019), 765–83. doi:10.1093/ia/iiz106 | Eilam, Uzi, Keshet Eilam: hatechnologia hamitkademet [Eilam’s Arc: How Israel Became a Military Technology Powerhouse] (Tel Aviv Yedioth Ahronoth 2011). | Faglin, Gay, ‘Merutz hachidush: Technologiot mishariot vetzvaiyot beemtzaei lehima – nekudat haizun hamatima [The Innovation Race’: Commercial and Military Technologies in Military Systems – The Right Balance] (Haifa Chaikin Chair in Geostrategy 2018). | Fordham, Benjamin O., ‘A Very Sharp Sword: The Influence of Military Capabilities on American Decisions to Use Force’, Journal of Conflict Resolution 48/5 (2004), 632–56. doi:10.1177/0022002704267935 | Freilich, Charles D., Israeli National Security: A New Strategy for an Era of Change (New York Oxford University Press 2018). | Freilich, Charles D., Zion’s Dilemmas: How Israel Makes National Security Policy (Ithaca Cornell University Press 2012). | George, Alexander L., Forceful Persuasion: Coercive Diplomacy as an Alternative to War (Washington, D.C. United States Institute of Peace 1992). | Halevy, Hertzi A., Y. (full names unavailable), ‘Elionut modi’init beidan technologi [Intelligence Superiority in a Digital Era]’, Ma’arachot 477 (April 2018), 26–31. | Hershko, Tzila, ‘‘Haroman mithadesh?’ [Is the Love Affair Starting Over?]’, Ma’arachot 456 (2014), 34–37. | Holley, I. B., Technology and Military Doctrine: Essays on a Challenging Relationship (Maxwell Air University Press 2004). | Honig, Benson, Miri Lerner, and Yoel Raban, ‘Social Capital and the Linkages of High-Tech Companies to the Military Defense System: Is There a Signalling Mechanism?’, Small Business Economics 27/4–5 (2006), 419–37. doi:10.1007/s11187-005-5644-y | Jones, Clive and Yoel Guzansky, ‘Israel’s Relations with the Gulf States: Toward the Emergence of a Tacit Security Regime?’, Contemporary Security Policy 38/3 (2017), 398–419. doi:10.1080/13523260.2017.1292375 | Katz, Yaakov and Amir Bohbot, The Weapon Wizards: How Israel Became a High-Tech Military Superpower (New York: St. Martin’s Press 2017). | Krepinevich, Andrew, ‘Cavalry to Computer: The Pattern of Military Revolutions’, The National Interest 37 (1994), 30–42. | Lehman, Ronald F., ‘Future Technology and Strategic Stability’, in Elbridge A. Colby and Michael S. Gerson (eds.) Strategic Stability: Contending Interpretations (Carlisle: U.S. Army War College Press 2013), 147–99. | Levite, Ariel, Offense and Defense in Israeli Military Doctrine (New York Routledge 2019). | Levy, Yagil, ‘Social Convertibility and Militarism: Evaluations of the Development of Military-Society Relations in Israel in the Early 2000s’, Journal of Political and Military Sociology 31/1 (2003), 71–96. | </v>
      </c>
    </row>
    <row r="26" customFormat="false" ht="158.2" hidden="false" customHeight="false" outlineLevel="0" collapsed="false">
      <c r="A26" s="4" t="s">
        <v>214</v>
      </c>
      <c r="B26" s="3" t="s">
        <v>214</v>
      </c>
      <c r="C26" s="5" t="str">
        <f aca="false">B26&amp;"| "</f>
        <v>Marcus, Raphael D., Israel’s Long War with Hezbollah: Military Innovation and Adaptation under Fire (Washington, D.C. Georgetown University Press 2018). | </v>
      </c>
      <c r="D26" s="5" t="str">
        <f aca="false">D25&amp;C26</f>
        <v>Adamsky, Dmitry, The Culture of Military Innovation: The Impact of Cultural Factors on the Revolution in Military Affairs in Russia, the US, and Israel (Stanford Stanford University Press 2010). | Blake, Duncan, ‘Military Strategic Use of Outer Space’, in H. Nasu and R. McLaughlin (eds.) New Technologies and the Law of Armed Conflict (Hague: T.M.C. Asser Press 2014), 97–114. | Breznitz, Dan, ‘The Military as a Public Space: The Role of the IDF in the Israeli Software Innovation System’, MIT Working Paper IPC-02-004 (April 2002). | Brzoska, Michael, ‘Trends in Global Military and Civilian Research and Development (R&amp;D) and Their Changing Interface’, Proceedings of the International Seminar on Defence Finance and Economics 19 (2006). | Buzan, Barry and Eric Herring, The Arms Dynamic in World Politics (Boulder Lynne Rienner 1998). | Caspi-Shabbat, Tali and Or Glik, ‘Mahapechat hameida baolam hamivtsai harav-zroi betzahal [The Information Revolution in the IDF’s Multi-arm Operational World]’, Bein Haktavim 18 (2018), 38–47. | Cheung, Tai Ming, Thomas G. Mahnken, and Andrew L. Ross, ‘Frameworks for Analyzing Chinese Defense and Military Innovation’, in Tai Ming Cheung (ed.) Forging China’s Military Might: A New Framework for Assessing Innovation (Baltimore: Johns Hopkins University Press 2014), 15–46. | Chin, Warren, ‘Technology, War and the State: Past, Present and Future’, International Affairs 95/4 (2019), 765–83. doi:10.1093/ia/iiz106 | Eilam, Uzi, Keshet Eilam: hatechnologia hamitkademet [Eilam’s Arc: How Israel Became a Military Technology Powerhouse] (Tel Aviv Yedioth Ahronoth 2011). | Faglin, Gay, ‘Merutz hachidush: Technologiot mishariot vetzvaiyot beemtzaei lehima – nekudat haizun hamatima [The Innovation Race’: Commercial and Military Technologies in Military Systems – The Right Balance] (Haifa Chaikin Chair in Geostrategy 2018). | Fordham, Benjamin O., ‘A Very Sharp Sword: The Influence of Military Capabilities on American Decisions to Use Force’, Journal of Conflict Resolution 48/5 (2004), 632–56. doi:10.1177/0022002704267935 | Freilich, Charles D., Israeli National Security: A New Strategy for an Era of Change (New York Oxford University Press 2018). | Freilich, Charles D., Zion’s Dilemmas: How Israel Makes National Security Policy (Ithaca Cornell University Press 2012). | George, Alexander L., Forceful Persuasion: Coercive Diplomacy as an Alternative to War (Washington, D.C. United States Institute of Peace 1992). | Halevy, Hertzi A., Y. (full names unavailable), ‘Elionut modi’init beidan technologi [Intelligence Superiority in a Digital Era]’, Ma’arachot 477 (April 2018), 26–31. | Hershko, Tzila, ‘‘Haroman mithadesh?’ [Is the Love Affair Starting Over?]’, Ma’arachot 456 (2014), 34–37. | Holley, I. B., Technology and Military Doctrine: Essays on a Challenging Relationship (Maxwell Air University Press 2004). | Honig, Benson, Miri Lerner, and Yoel Raban, ‘Social Capital and the Linkages of High-Tech Companies to the Military Defense System: Is There a Signalling Mechanism?’, Small Business Economics 27/4–5 (2006), 419–37. doi:10.1007/s11187-005-5644-y | Jones, Clive and Yoel Guzansky, ‘Israel’s Relations with the Gulf States: Toward the Emergence of a Tacit Security Regime?’, Contemporary Security Policy 38/3 (2017), 398–419. doi:10.1080/13523260.2017.1292375 | Katz, Yaakov and Amir Bohbot, The Weapon Wizards: How Israel Became a High-Tech Military Superpower (New York: St. Martin’s Press 2017). | Krepinevich, Andrew, ‘Cavalry to Computer: The Pattern of Military Revolutions’, The National Interest 37 (1994), 30–42. | Lehman, Ronald F., ‘Future Technology and Strategic Stability’, in Elbridge A. Colby and Michael S. Gerson (eds.) Strategic Stability: Contending Interpretations (Carlisle: U.S. Army War College Press 2013), 147–99. | Levite, Ariel, Offense and Defense in Israeli Military Doctrine (New York Routledge 2019). | Levy, Yagil, ‘Social Convertibility and Militarism: Evaluations of the Development of Military-Society Relations in Israel in the Early 2000s’, Journal of Political and Military Sociology 31/1 (2003), 71–96. | Marcus, Raphael D., Israel’s Long War with Hezbollah: Military Innovation and Adaptation under Fire (Washington, D.C. Georgetown University Press 2018). | </v>
      </c>
    </row>
    <row r="27" customFormat="false" ht="191.75" hidden="false" customHeight="false" outlineLevel="0" collapsed="false">
      <c r="A27" s="4" t="s">
        <v>215</v>
      </c>
      <c r="B27" s="3" t="s">
        <v>216</v>
      </c>
      <c r="C27" s="5" t="str">
        <f aca="false">B27&amp;"| "</f>
        <v>Nah, Liang Tuang, The Fourth Industrial Revolution’s Impact on Smaller Militaries: Boon or Bane? RSIS Working Paper no. 318 (Singapore: S. Rajaratnam School of International Studies 2018). | </v>
      </c>
      <c r="D27" s="5" t="str">
        <f aca="false">D26&amp;C27</f>
        <v>Adamsky, Dmitry, The Culture of Military Innovation: The Impact of Cultural Factors on the Revolution in Military Affairs in Russia, the US, and Israel (Stanford Stanford University Press 2010). | Blake, Duncan, ‘Military Strategic Use of Outer Space’, in H. Nasu and R. McLaughlin (eds.) New Technologies and the Law of Armed Conflict (Hague: T.M.C. Asser Press 2014), 97–114. | Breznitz, Dan, ‘The Military as a Public Space: The Role of the IDF in the Israeli Software Innovation System’, MIT Working Paper IPC-02-004 (April 2002). | Brzoska, Michael, ‘Trends in Global Military and Civilian Research and Development (R&amp;D) and Their Changing Interface’, Proceedings of the International Seminar on Defence Finance and Economics 19 (2006). | Buzan, Barry and Eric Herring, The Arms Dynamic in World Politics (Boulder Lynne Rienner 1998). | Caspi-Shabbat, Tali and Or Glik, ‘Mahapechat hameida baolam hamivtsai harav-zroi betzahal [The Information Revolution in the IDF’s Multi-arm Operational World]’, Bein Haktavim 18 (2018), 38–47. | Cheung, Tai Ming, Thomas G. Mahnken, and Andrew L. Ross, ‘Frameworks for Analyzing Chinese Defense and Military Innovation’, in Tai Ming Cheung (ed.) Forging China’s Military Might: A New Framework for Assessing Innovation (Baltimore: Johns Hopkins University Press 2014), 15–46. | Chin, Warren, ‘Technology, War and the State: Past, Present and Future’, International Affairs 95/4 (2019), 765–83. doi:10.1093/ia/iiz106 | Eilam, Uzi, Keshet Eilam: hatechnologia hamitkademet [Eilam’s Arc: How Israel Became a Military Technology Powerhouse] (Tel Aviv Yedioth Ahronoth 2011). | Faglin, Gay, ‘Merutz hachidush: Technologiot mishariot vetzvaiyot beemtzaei lehima – nekudat haizun hamatima [The Innovation Race’: Commercial and Military Technologies in Military Systems – The Right Balance] (Haifa Chaikin Chair in Geostrategy 2018). | Fordham, Benjamin O., ‘A Very Sharp Sword: The Influence of Military Capabilities on American Decisions to Use Force’, Journal of Conflict Resolution 48/5 (2004), 632–56. doi:10.1177/0022002704267935 | Freilich, Charles D., Israeli National Security: A New Strategy for an Era of Change (New York Oxford University Press 2018). | Freilich, Charles D., Zion’s Dilemmas: How Israel Makes National Security Policy (Ithaca Cornell University Press 2012). | George, Alexander L., Forceful Persuasion: Coercive Diplomacy as an Alternative to War (Washington, D.C. United States Institute of Peace 1992). | Halevy, Hertzi A., Y. (full names unavailable), ‘Elionut modi’init beidan technologi [Intelligence Superiority in a Digital Era]’, Ma’arachot 477 (April 2018), 26–31. | Hershko, Tzila, ‘‘Haroman mithadesh?’ [Is the Love Affair Starting Over?]’, Ma’arachot 456 (2014), 34–37. | Holley, I. B., Technology and Military Doctrine: Essays on a Challenging Relationship (Maxwell Air University Press 2004). | Honig, Benson, Miri Lerner, and Yoel Raban, ‘Social Capital and the Linkages of High-Tech Companies to the Military Defense System: Is There a Signalling Mechanism?’, Small Business Economics 27/4–5 (2006), 419–37. doi:10.1007/s11187-005-5644-y | Jones, Clive and Yoel Guzansky, ‘Israel’s Relations with the Gulf States: Toward the Emergence of a Tacit Security Regime?’, Contemporary Security Policy 38/3 (2017), 398–419. doi:10.1080/13523260.2017.1292375 | Katz, Yaakov and Amir Bohbot, The Weapon Wizards: How Israel Became a High-Tech Military Superpower (New York: St. Martin’s Press 2017). | Krepinevich, Andrew, ‘Cavalry to Computer: The Pattern of Military Revolutions’, The National Interest 37 (1994), 30–42. | Lehman, Ronald F., ‘Future Technology and Strategic Stability’, in Elbridge A. Colby and Michael S. Gerson (eds.) Strategic Stability: Contending Interpretations (Carlisle: U.S. Army War College Press 2013), 147–99. | Levite, Ariel, Offense and Defense in Israeli Military Doctrine (New York Routledge 2019). | Levy, Yagil, ‘Social Convertibility and Militarism: Evaluations of the Development of Military-Society Relations in Israel in the Early 2000s’, Journal of Political and Military Sociology 31/1 (2003), 71–96. | Marcus, Raphael D., Israel’s Long War with Hezbollah: Military Innovation and Adaptation under Fire (Washington, D.C. Georgetown University Press 2018). | Nah, Liang Tuang, The Fourth Industrial Revolution’s Impact on Smaller Militaries: Boon or Bane? RSIS Working Paper no. 318 (Singapore: S. Rajaratnam School of International Studies 2018). | </v>
      </c>
    </row>
    <row r="28" customFormat="false" ht="202.95" hidden="false" customHeight="false" outlineLevel="0" collapsed="false">
      <c r="A28" s="4" t="s">
        <v>217</v>
      </c>
      <c r="B28" s="3" t="s">
        <v>218</v>
      </c>
      <c r="C28" s="5" t="str">
        <f aca="false">B28&amp;"| "</f>
        <v>Nien, Clement Wee, Yong Tay Cheng Chuan, and Ho Jin Peng, ‘At the Leading Edge: The RSAF and the Fourth Industrial Revolution’, Pointer: Journal of the Singapore Armed Forces 44/2 (2018), 1–11. | </v>
      </c>
      <c r="D28" s="5" t="str">
        <f aca="false">D27&amp;C28</f>
        <v>Adamsky, Dmitry, The Culture of Military Innovation: The Impact of Cultural Factors on the Revolution in Military Affairs in Russia, the US, and Israel (Stanford Stanford University Press 2010). | Blake, Duncan, ‘Military Strategic Use of Outer Space’, in H. Nasu and R. McLaughlin (eds.) New Technologies and the Law of Armed Conflict (Hague: T.M.C. Asser Press 2014), 97–114. | Breznitz, Dan, ‘The Military as a Public Space: The Role of the IDF in the Israeli Software Innovation System’, MIT Working Paper IPC-02-004 (April 2002). | Brzoska, Michael, ‘Trends in Global Military and Civilian Research and Development (R&amp;D) and Their Changing Interface’, Proceedings of the International Seminar on Defence Finance and Economics 19 (2006). | Buzan, Barry and Eric Herring, The Arms Dynamic in World Politics (Boulder Lynne Rienner 1998). | Caspi-Shabbat, Tali and Or Glik, ‘Mahapechat hameida baolam hamivtsai harav-zroi betzahal [The Information Revolution in the IDF’s Multi-arm Operational World]’, Bein Haktavim 18 (2018), 38–47. | Cheung, Tai Ming, Thomas G. Mahnken, and Andrew L. Ross, ‘Frameworks for Analyzing Chinese Defense and Military Innovation’, in Tai Ming Cheung (ed.) Forging China’s Military Might: A New Framework for Assessing Innovation (Baltimore: Johns Hopkins University Press 2014), 15–46. | Chin, Warren, ‘Technology, War and the State: Past, Present and Future’, International Affairs 95/4 (2019), 765–83. doi:10.1093/ia/iiz106 | Eilam, Uzi, Keshet Eilam: hatechnologia hamitkademet [Eilam’s Arc: How Israel Became a Military Technology Powerhouse] (Tel Aviv Yedioth Ahronoth 2011). | Faglin, Gay, ‘Merutz hachidush: Technologiot mishariot vetzvaiyot beemtzaei lehima – nekudat haizun hamatima [The Innovation Race’: Commercial and Military Technologies in Military Systems – The Right Balance] (Haifa Chaikin Chair in Geostrategy 2018). | Fordham, Benjamin O., ‘A Very Sharp Sword: The Influence of Military Capabilities on American Decisions to Use Force’, Journal of Conflict Resolution 48/5 (2004), 632–56. doi:10.1177/0022002704267935 | Freilich, Charles D., Israeli National Security: A New Strategy for an Era of Change (New York Oxford University Press 2018). | Freilich, Charles D., Zion’s Dilemmas: How Israel Makes National Security Policy (Ithaca Cornell University Press 2012). | George, Alexander L., Forceful Persuasion: Coercive Diplomacy as an Alternative to War (Washington, D.C. United States Institute of Peace 1992). | Halevy, Hertzi A., Y. (full names unavailable), ‘Elionut modi’init beidan technologi [Intelligence Superiority in a Digital Era]’, Ma’arachot 477 (April 2018), 26–31. | Hershko, Tzila, ‘‘Haroman mithadesh?’ [Is the Love Affair Starting Over?]’, Ma’arachot 456 (2014), 34–37. | Holley, I. B., Technology and Military Doctrine: Essays on a Challenging Relationship (Maxwell Air University Press 2004). | Honig, Benson, Miri Lerner, and Yoel Raban, ‘Social Capital and the Linkages of High-Tech Companies to the Military Defense System: Is There a Signalling Mechanism?’, Small Business Economics 27/4–5 (2006), 419–37. doi:10.1007/s11187-005-5644-y | Jones, Clive and Yoel Guzansky, ‘Israel’s Relations with the Gulf States: Toward the Emergence of a Tacit Security Regime?’, Contemporary Security Policy 38/3 (2017), 398–419. doi:10.1080/13523260.2017.1292375 | Katz, Yaakov and Amir Bohbot, The Weapon Wizards: How Israel Became a High-Tech Military Superpower (New York: St. Martin’s Press 2017). | Krepinevich, Andrew, ‘Cavalry to Computer: The Pattern of Military Revolutions’, The National Interest 37 (1994), 30–42. | Lehman, Ronald F., ‘Future Technology and Strategic Stability’, in Elbridge A. Colby and Michael S. Gerson (eds.) Strategic Stability: Contending Interpretations (Carlisle: U.S. Army War College Press 2013), 147–99. | Levite, Ariel, Offense and Defense in Israeli Military Doctrine (New York Routledge 2019). | Levy, Yagil, ‘Social Convertibility and Militarism: Evaluations of the Development of Military-Society Relations in Israel in the Early 2000s’, Journal of Political and Military Sociology 31/1 (2003), 71–96. | Marcus, Raphael D., Israel’s Long War with Hezbollah: Military Innovation and Adaptation under Fire (Washington, D.C. Georgetown University Press 2018). | Nah, Liang Tuang, The Fourth Industrial Revolution’s Impact on Smaller Militaries: Boon or Bane? RSIS Working Paper no. 318 (Singapore: S. Rajaratnam School of International Studies 2018). | Nien, Clement Wee, Yong Tay Cheng Chuan, and Ho Jin Peng, ‘At the Leading Edge: The RSAF and the Fourth Industrial Revolution’, Pointer: Journal of the Singapore Armed Forces 44/2 (2018), 1–11. | </v>
      </c>
    </row>
    <row r="29" customFormat="false" ht="158.2" hidden="false" customHeight="false" outlineLevel="0" collapsed="false">
      <c r="A29" s="4" t="s">
        <v>219</v>
      </c>
      <c r="B29" s="3" t="s">
        <v>220</v>
      </c>
      <c r="C29" s="5" t="str">
        <f aca="false">B29&amp;"| "</f>
        <v>Posen, Barry R., The Sources of Military Doctrine: France, Britain, and Germany between the World Wars (Ithaca Cornell University Press 1984). | </v>
      </c>
      <c r="D29" s="5" t="str">
        <f aca="false">D28&amp;C29</f>
        <v>Adamsky, Dmitry, The Culture of Military Innovation: The Impact of Cultural Factors on the Revolution in Military Affairs in Russia, the US, and Israel (Stanford Stanford University Press 2010). | Blake, Duncan, ‘Military Strategic Use of Outer Space’, in H. Nasu and R. McLaughlin (eds.) New Technologies and the Law of Armed Conflict (Hague: T.M.C. Asser Press 2014), 97–114. | Breznitz, Dan, ‘The Military as a Public Space: The Role of the IDF in the Israeli Software Innovation System’, MIT Working Paper IPC-02-004 (April 2002). | Brzoska, Michael, ‘Trends in Global Military and Civilian Research and Development (R&amp;D) and Their Changing Interface’, Proceedings of the International Seminar on Defence Finance and Economics 19 (2006). | Buzan, Barry and Eric Herring, The Arms Dynamic in World Politics (Boulder Lynne Rienner 1998). | Caspi-Shabbat, Tali and Or Glik, ‘Mahapechat hameida baolam hamivtsai harav-zroi betzahal [The Information Revolution in the IDF’s Multi-arm Operational World]’, Bein Haktavim 18 (2018), 38–47. | Cheung, Tai Ming, Thomas G. Mahnken, and Andrew L. Ross, ‘Frameworks for Analyzing Chinese Defense and Military Innovation’, in Tai Ming Cheung (ed.) Forging China’s Military Might: A New Framework for Assessing Innovation (Baltimore: Johns Hopkins University Press 2014), 15–46. | Chin, Warren, ‘Technology, War and the State: Past, Present and Future’, International Affairs 95/4 (2019), 765–83. doi:10.1093/ia/iiz106 | Eilam, Uzi, Keshet Eilam: hatechnologia hamitkademet [Eilam’s Arc: How Israel Became a Military Technology Powerhouse] (Tel Aviv Yedioth Ahronoth 2011). | Faglin, Gay, ‘Merutz hachidush: Technologiot mishariot vetzvaiyot beemtzaei lehima – nekudat haizun hamatima [The Innovation Race’: Commercial and Military Technologies in Military Systems – The Right Balance] (Haifa Chaikin Chair in Geostrategy 2018). | Fordham, Benjamin O., ‘A Very Sharp Sword: The Influence of Military Capabilities on American Decisions to Use Force’, Journal of Conflict Resolution 48/5 (2004), 632–56. doi:10.1177/0022002704267935 | Freilich, Charles D., Israeli National Security: A New Strategy for an Era of Change (New York Oxford University Press 2018). | Freilich, Charles D., Zion’s Dilemmas: How Israel Makes National Security Policy (Ithaca Cornell University Press 2012). | George, Alexander L., Forceful Persuasion: Coercive Diplomacy as an Alternative to War (Washington, D.C. United States Institute of Peace 1992). | Halevy, Hertzi A., Y. (full names unavailable), ‘Elionut modi’init beidan technologi [Intelligence Superiority in a Digital Era]’, Ma’arachot 477 (April 2018), 26–31. | Hershko, Tzila, ‘‘Haroman mithadesh?’ [Is the Love Affair Starting Over?]’, Ma’arachot 456 (2014), 34–37. | Holley, I. B., Technology and Military Doctrine: Essays on a Challenging Relationship (Maxwell Air University Press 2004). | Honig, Benson, Miri Lerner, and Yoel Raban, ‘Social Capital and the Linkages of High-Tech Companies to the Military Defense System: Is There a Signalling Mechanism?’, Small Business Economics 27/4–5 (2006), 419–37. doi:10.1007/s11187-005-5644-y | Jones, Clive and Yoel Guzansky, ‘Israel’s Relations with the Gulf States: Toward the Emergence of a Tacit Security Regime?’, Contemporary Security Policy 38/3 (2017), 398–419. doi:10.1080/13523260.2017.1292375 | Katz, Yaakov and Amir Bohbot, The Weapon Wizards: How Israel Became a High-Tech Military Superpower (New York: St. Martin’s Press 2017). | Krepinevich, Andrew, ‘Cavalry to Computer: The Pattern of Military Revolutions’, The National Interest 37 (1994), 30–42. | Lehman, Ronald F., ‘Future Technology and Strategic Stability’, in Elbridge A. Colby and Michael S. Gerson (eds.) Strategic Stability: Contending Interpretations (Carlisle: U.S. Army War College Press 2013), 147–99. | Levite, Ariel, Offense and Defense in Israeli Military Doctrine (New York Routledge 2019). | Levy, Yagil, ‘Social Convertibility and Militarism: Evaluations of the Development of Military-Society Relations in Israel in the Early 2000s’, Journal of Political and Military Sociology 31/1 (2003), 71–96. | Marcus, Raphael D., Israel’s Long War with Hezbollah: Military Innovation and Adaptation under Fire (Washington, D.C. Georgetown University Press 2018). | Nah, Liang Tuang, The Fourth Industrial Revolution’s Impact on Smaller Militaries: Boon or Bane? RSIS Working Paper no. 318 (Singapore: S. Rajaratnam School of International Studies 2018). | Nien, Clement Wee, Yong Tay Cheng Chuan, and Ho Jin Peng, ‘At the Leading Edge: The RSAF and the Fourth Industrial Revolution’, Pointer: Journal of the Singapore Armed Forces 44/2 (2018), 1–11. | Posen, Barry R., The Sources of Military Doctrine: France, Britain, and Germany between the World Wars (Ithaca Cornell University Press 1984). | </v>
      </c>
    </row>
    <row r="30" customFormat="false" ht="158.2" hidden="false" customHeight="false" outlineLevel="0" collapsed="false">
      <c r="A30" s="4" t="s">
        <v>221</v>
      </c>
      <c r="B30" s="3" t="s">
        <v>222</v>
      </c>
      <c r="C30" s="5" t="str">
        <f aca="false">B30&amp;"| "</f>
        <v>Rabinovich, Itamar and Itai Brun, Israel Facing a New Middle East: In Search of National Security Strategy (Stanford Hoover Institution Press 2017). | </v>
      </c>
      <c r="D30" s="5" t="str">
        <f aca="false">D29&amp;C30</f>
        <v>Adamsky, Dmitry, The Culture of Military Innovation: The Impact of Cultural Factors on the Revolution in Military Affairs in Russia, the US, and Israel (Stanford Stanford University Press 2010). | Blake, Duncan, ‘Military Strategic Use of Outer Space’, in H. Nasu and R. McLaughlin (eds.) New Technologies and the Law of Armed Conflict (Hague: T.M.C. Asser Press 2014), 97–114. | Breznitz, Dan, ‘The Military as a Public Space: The Role of the IDF in the Israeli Software Innovation System’, MIT Working Paper IPC-02-004 (April 2002). | Brzoska, Michael, ‘Trends in Global Military and Civilian Research and Development (R&amp;D) and Their Changing Interface’, Proceedings of the International Seminar on Defence Finance and Economics 19 (2006). | Buzan, Barry and Eric Herring, The Arms Dynamic in World Politics (Boulder Lynne Rienner 1998). | Caspi-Shabbat, Tali and Or Glik, ‘Mahapechat hameida baolam hamivtsai harav-zroi betzahal [The Information Revolution in the IDF’s Multi-arm Operational World]’, Bein Haktavim 18 (2018), 38–47. | Cheung, Tai Ming, Thomas G. Mahnken, and Andrew L. Ross, ‘Frameworks for Analyzing Chinese Defense and Military Innovation’, in Tai Ming Cheung (ed.) Forging China’s Military Might: A New Framework for Assessing Innovation (Baltimore: Johns Hopkins University Press 2014), 15–46. | Chin, Warren, ‘Technology, War and the State: Past, Present and Future’, International Affairs 95/4 (2019), 765–83. doi:10.1093/ia/iiz106 | Eilam, Uzi, Keshet Eilam: hatechnologia hamitkademet [Eilam’s Arc: How Israel Became a Military Technology Powerhouse] (Tel Aviv Yedioth Ahronoth 2011). | Faglin, Gay, ‘Merutz hachidush: Technologiot mishariot vetzvaiyot beemtzaei lehima – nekudat haizun hamatima [The Innovation Race’: Commercial and Military Technologies in Military Systems – The Right Balance] (Haifa Chaikin Chair in Geostrategy 2018). | Fordham, Benjamin O., ‘A Very Sharp Sword: The Influence of Military Capabilities on American Decisions to Use Force’, Journal of Conflict Resolution 48/5 (2004), 632–56. doi:10.1177/0022002704267935 | Freilich, Charles D., Israeli National Security: A New Strategy for an Era of Change (New York Oxford University Press 2018). | Freilich, Charles D., Zion’s Dilemmas: How Israel Makes National Security Policy (Ithaca Cornell University Press 2012). | George, Alexander L., Forceful Persuasion: Coercive Diplomacy as an Alternative to War (Washington, D.C. United States Institute of Peace 1992). | Halevy, Hertzi A., Y. (full names unavailable), ‘Elionut modi’init beidan technologi [Intelligence Superiority in a Digital Era]’, Ma’arachot 477 (April 2018), 26–31. | Hershko, Tzila, ‘‘Haroman mithadesh?’ [Is the Love Affair Starting Over?]’, Ma’arachot 456 (2014), 34–37. | Holley, I. B., Technology and Military Doctrine: Essays on a Challenging Relationship (Maxwell Air University Press 2004). | Honig, Benson, Miri Lerner, and Yoel Raban, ‘Social Capital and the Linkages of High-Tech Companies to the Military Defense System: Is There a Signalling Mechanism?’, Small Business Economics 27/4–5 (2006), 419–37. doi:10.1007/s11187-005-5644-y | Jones, Clive and Yoel Guzansky, ‘Israel’s Relations with the Gulf States: Toward the Emergence of a Tacit Security Regime?’, Contemporary Security Policy 38/3 (2017), 398–419. doi:10.1080/13523260.2017.1292375 | Katz, Yaakov and Amir Bohbot, The Weapon Wizards: How Israel Became a High-Tech Military Superpower (New York: St. Martin’s Press 2017). | Krepinevich, Andrew, ‘Cavalry to Computer: The Pattern of Military Revolutions’, The National Interest 37 (1994), 30–42. | Lehman, Ronald F., ‘Future Technology and Strategic Stability’, in Elbridge A. Colby and Michael S. Gerson (eds.) Strategic Stability: Contending Interpretations (Carlisle: U.S. Army War College Press 2013), 147–99. | Levite, Ariel, Offense and Defense in Israeli Military Doctrine (New York Routledge 2019). | Levy, Yagil, ‘Social Convertibility and Militarism: Evaluations of the Development of Military-Society Relations in Israel in the Early 2000s’, Journal of Political and Military Sociology 31/1 (2003), 71–96. | Marcus, Raphael D., Israel’s Long War with Hezbollah: Military Innovation and Adaptation under Fire (Washington, D.C. Georgetown University Press 2018). | Nah, Liang Tuang, The Fourth Industrial Revolution’s Impact on Smaller Militaries: Boon or Bane? RSIS Working Paper no. 318 (Singapore: S. Rajaratnam School of International Studies 2018). | Nien, Clement Wee, Yong Tay Cheng Chuan, and Ho Jin Peng, ‘At the Leading Edge: The RSAF and the Fourth Industrial Revolution’, Pointer: Journal of the Singapore Armed Forces 44/2 (2018), 1–11. | Posen, Barry R., The Sources of Military Doctrine: France, Britain, and Germany between the World Wars (Ithaca Cornell University Press 1984). | Rabinovich, Itamar and Itai Brun, Israel Facing a New Middle East: In Search of National Security Strategy (Stanford Hoover Institution Press 2017). | </v>
      </c>
    </row>
    <row r="31" customFormat="false" ht="147" hidden="false" customHeight="false" outlineLevel="0" collapsed="false">
      <c r="A31" s="4" t="s">
        <v>223</v>
      </c>
      <c r="B31" s="3" t="s">
        <v>224</v>
      </c>
      <c r="C31" s="5" t="str">
        <f aca="false">B31&amp;"| "</f>
        <v>Raska, Michael, ‘Strategic Competition for Emerging Military Technologies: Comparative Paths and Patterns’, Prism 8/3 (2019), 64–81. | </v>
      </c>
      <c r="D31" s="5" t="str">
        <f aca="false">D30&amp;C31</f>
        <v>Adamsky, Dmitry, The Culture of Military Innovation: The Impact of Cultural Factors on the Revolution in Military Affairs in Russia, the US, and Israel (Stanford Stanford University Press 2010). | Blake, Duncan, ‘Military Strategic Use of Outer Space’, in H. Nasu and R. McLaughlin (eds.) New Technologies and the Law of Armed Conflict (Hague: T.M.C. Asser Press 2014), 97–114. | Breznitz, Dan, ‘The Military as a Public Space: The Role of the IDF in the Israeli Software Innovation System’, MIT Working Paper IPC-02-004 (April 2002). | Brzoska, Michael, ‘Trends in Global Military and Civilian Research and Development (R&amp;D) and Their Changing Interface’, Proceedings of the International Seminar on Defence Finance and Economics 19 (2006). | Buzan, Barry and Eric Herring, The Arms Dynamic in World Politics (Boulder Lynne Rienner 1998). | Caspi-Shabbat, Tali and Or Glik, ‘Mahapechat hameida baolam hamivtsai harav-zroi betzahal [The Information Revolution in the IDF’s Multi-arm Operational World]’, Bein Haktavim 18 (2018), 38–47. | Cheung, Tai Ming, Thomas G. Mahnken, and Andrew L. Ross, ‘Frameworks for Analyzing Chinese Defense and Military Innovation’, in Tai Ming Cheung (ed.) Forging China’s Military Might: A New Framework for Assessing Innovation (Baltimore: Johns Hopkins University Press 2014), 15–46. | Chin, Warren, ‘Technology, War and the State: Past, Present and Future’, International Affairs 95/4 (2019), 765–83. doi:10.1093/ia/iiz106 | Eilam, Uzi, Keshet Eilam: hatechnologia hamitkademet [Eilam’s Arc: How Israel Became a Military Technology Powerhouse] (Tel Aviv Yedioth Ahronoth 2011). | Faglin, Gay, ‘Merutz hachidush: Technologiot mishariot vetzvaiyot beemtzaei lehima – nekudat haizun hamatima [The Innovation Race’: Commercial and Military Technologies in Military Systems – The Right Balance] (Haifa Chaikin Chair in Geostrategy 2018). | Fordham, Benjamin O., ‘A Very Sharp Sword: The Influence of Military Capabilities on American Decisions to Use Force’, Journal of Conflict Resolution 48/5 (2004), 632–56. doi:10.1177/0022002704267935 | Freilich, Charles D., Israeli National Security: A New Strategy for an Era of Change (New York Oxford University Press 2018). | Freilich, Charles D., Zion’s Dilemmas: How Israel Makes National Security Policy (Ithaca Cornell University Press 2012). | George, Alexander L., Forceful Persuasion: Coercive Diplomacy as an Alternative to War (Washington, D.C. United States Institute of Peace 1992). | Halevy, Hertzi A., Y. (full names unavailable), ‘Elionut modi’init beidan technologi [Intelligence Superiority in a Digital Era]’, Ma’arachot 477 (April 2018), 26–31. | Hershko, Tzila, ‘‘Haroman mithadesh?’ [Is the Love Affair Starting Over?]’, Ma’arachot 456 (2014), 34–37. | Holley, I. B., Technology and Military Doctrine: Essays on a Challenging Relationship (Maxwell Air University Press 2004). | Honig, Benson, Miri Lerner, and Yoel Raban, ‘Social Capital and the Linkages of High-Tech Companies to the Military Defense System: Is There a Signalling Mechanism?’, Small Business Economics 27/4–5 (2006), 419–37. doi:10.1007/s11187-005-5644-y | Jones, Clive and Yoel Guzansky, ‘Israel’s Relations with the Gulf States: Toward the Emergence of a Tacit Security Regime?’, Contemporary Security Policy 38/3 (2017), 398–419. doi:10.1080/13523260.2017.1292375 | Katz, Yaakov and Amir Bohbot, The Weapon Wizards: How Israel Became a High-Tech Military Superpower (New York: St. Martin’s Press 2017). | Krepinevich, Andrew, ‘Cavalry to Computer: The Pattern of Military Revolutions’, The National Interest 37 (1994), 30–42. | Lehman, Ronald F., ‘Future Technology and Strategic Stability’, in Elbridge A. Colby and Michael S. Gerson (eds.) Strategic Stability: Contending Interpretations (Carlisle: U.S. Army War College Press 2013), 147–99. | Levite, Ariel, Offense and Defense in Israeli Military Doctrine (New York Routledge 2019). | Levy, Yagil, ‘Social Convertibility and Militarism: Evaluations of the Development of Military-Society Relations in Israel in the Early 2000s’, Journal of Political and Military Sociology 31/1 (2003), 71–96. | Marcus, Raphael D., Israel’s Long War with Hezbollah: Military Innovation and Adaptation under Fire (Washington, D.C. Georgetown University Press 2018). | Nah, Liang Tuang, The Fourth Industrial Revolution’s Impact on Smaller Militaries: Boon or Bane? RSIS Working Paper no. 318 (Singapore: S. Rajaratnam School of International Studies 2018). | Nien, Clement Wee, Yong Tay Cheng Chuan, and Ho Jin Peng, ‘At the Leading Edge: The RSAF and the Fourth Industrial Revolution’, Pointer: Journal of the Singapore Armed Forces 44/2 (2018), 1–11. | Posen, Barry R., The Sources of Military Doctrine: France, Britain, and Germany between the World Wars (Ithaca Cornell University Press 1984). | Rabinovich, Itamar and Itai Brun, Israel Facing a New Middle East: In Search of National Security Strategy (Stanford Hoover Institution Press 2017). | Raska, Michael, ‘Strategic Competition for Emerging Military Technologies: Comparative Paths and Patterns’, Prism 8/3 (2019), 64–81. | </v>
      </c>
    </row>
    <row r="32" customFormat="false" ht="102.2" hidden="false" customHeight="false" outlineLevel="0" collapsed="false">
      <c r="A32" s="4" t="s">
        <v>225</v>
      </c>
      <c r="B32" s="3" t="s">
        <v>225</v>
      </c>
      <c r="C32" s="5" t="str">
        <f aca="false">B32&amp;"| "</f>
        <v>Sandler, Ronald L. (ed.), Ethics and Emerging Technologies (New York: Palgrave Macmillan 2014) | </v>
      </c>
      <c r="D32" s="5" t="str">
        <f aca="false">D31&amp;C32</f>
        <v>Adamsky, Dmitry, The Culture of Military Innovation: The Impact of Cultural Factors on the Revolution in Military Affairs in Russia, the US, and Israel (Stanford Stanford University Press 2010). | Blake, Duncan, ‘Military Strategic Use of Outer Space’, in H. Nasu and R. McLaughlin (eds.) New Technologies and the Law of Armed Conflict (Hague: T.M.C. Asser Press 2014), 97–114. | Breznitz, Dan, ‘The Military as a Public Space: The Role of the IDF in the Israeli Software Innovation System’, MIT Working Paper IPC-02-004 (April 2002). | Brzoska, Michael, ‘Trends in Global Military and Civilian Research and Development (R&amp;D) and Their Changing Interface’, Proceedings of the International Seminar on Defence Finance and Economics 19 (2006). | Buzan, Barry and Eric Herring, The Arms Dynamic in World Politics (Boulder Lynne Rienner 1998). | Caspi-Shabbat, Tali and Or Glik, ‘Mahapechat hameida baolam hamivtsai harav-zroi betzahal [The Information Revolution in the IDF’s Multi-arm Operational World]’, Bein Haktavim 18 (2018), 38–47. | Cheung, Tai Ming, Thomas G. Mahnken, and Andrew L. Ross, ‘Frameworks for Analyzing Chinese Defense and Military Innovation’, in Tai Ming Cheung (ed.) Forging China’s Military Might: A New Framework for Assessing Innovation (Baltimore: Johns Hopkins University Press 2014), 15–46. | Chin, Warren, ‘Technology, War and the State: Past, Present and Future’, International Affairs 95/4 (2019), 765–83. doi:10.1093/ia/iiz106 | Eilam, Uzi, Keshet Eilam: hatechnologia hamitkademet [Eilam’s Arc: How Israel Became a Military Technology Powerhouse] (Tel Aviv Yedioth Ahronoth 2011). | Faglin, Gay, ‘Merutz hachidush: Technologiot mishariot vetzvaiyot beemtzaei lehima – nekudat haizun hamatima [The Innovation Race’: Commercial and Military Technologies in Military Systems – The Right Balance] (Haifa Chaikin Chair in Geostrategy 2018). | Fordham, Benjamin O., ‘A Very Sharp Sword: The Influence of Military Capabilities on American Decisions to Use Force’, Journal of Conflict Resolution 48/5 (2004), 632–56. doi:10.1177/0022002704267935 | Freilich, Charles D., Israeli National Security: A New Strategy for an Era of Change (New York Oxford University Press 2018). | Freilich, Charles D., Zion’s Dilemmas: How Israel Makes National Security Policy (Ithaca Cornell University Press 2012). | George, Alexander L., Forceful Persuasion: Coercive Diplomacy as an Alternative to War (Washington, D.C. United States Institute of Peace 1992). | Halevy, Hertzi A., Y. (full names unavailable), ‘Elionut modi’init beidan technologi [Intelligence Superiority in a Digital Era]’, Ma’arachot 477 (April 2018), 26–31. | Hershko, Tzila, ‘‘Haroman mithadesh?’ [Is the Love Affair Starting Over?]’, Ma’arachot 456 (2014), 34–37. | Holley, I. B., Technology and Military Doctrine: Essays on a Challenging Relationship (Maxwell Air University Press 2004). | Honig, Benson, Miri Lerner, and Yoel Raban, ‘Social Capital and the Linkages of High-Tech Companies to the Military Defense System: Is There a Signalling Mechanism?’, Small Business Economics 27/4–5 (2006), 419–37. doi:10.1007/s11187-005-5644-y | Jones, Clive and Yoel Guzansky, ‘Israel’s Relations with the Gulf States: Toward the Emergence of a Tacit Security Regime?’, Contemporary Security Policy 38/3 (2017), 398–419. doi:10.1080/13523260.2017.1292375 | Katz, Yaakov and Amir Bohbot, The Weapon Wizards: How Israel Became a High-Tech Military Superpower (New York: St. Martin’s Press 2017). | Krepinevich, Andrew, ‘Cavalry to Computer: The Pattern of Military Revolutions’, The National Interest 37 (1994), 30–42. | Lehman, Ronald F., ‘Future Technology and Strategic Stability’, in Elbridge A. Colby and Michael S. Gerson (eds.) Strategic Stability: Contending Interpretations (Carlisle: U.S. Army War College Press 2013), 147–99. | Levite, Ariel, Offense and Defense in Israeli Military Doctrine (New York Routledge 2019). | Levy, Yagil, ‘Social Convertibility and Militarism: Evaluations of the Development of Military-Society Relations in Israel in the Early 2000s’, Journal of Political and Military Sociology 31/1 (2003), 71–96. | Marcus, Raphael D., Israel’s Long War with Hezbollah: Military Innovation and Adaptation under Fire (Washington, D.C. Georgetown University Press 2018). | Nah, Liang Tuang, The Fourth Industrial Revolution’s Impact on Smaller Militaries: Boon or Bane? RSIS Working Paper no. 318 (Singapore: S. Rajaratnam School of International Studies 2018). | Nien, Clement Wee, Yong Tay Cheng Chuan, and Ho Jin Peng, ‘At the Leading Edge: The RSAF and the Fourth Industrial Revolution’, Pointer: Journal of the Singapore Armed Forces 44/2 (2018), 1–11. | Posen, Barry R., The Sources of Military Doctrine: France, Britain, and Germany between the World Wars (Ithaca Cornell University Press 1984). | Rabinovich, Itamar and Itai Brun, Israel Facing a New Middle East: In Search of National Security Strategy (Stanford Hoover Institution Press 2017). | Raska, Michael, ‘Strategic Competition for Emerging Military Technologies: Comparative Paths and Patterns’, Prism 8/3 (2019), 64–81. | Sandler, Ronald L. (ed.), Ethics and Emerging Technologies (New York: Palgrave Macmillan 2014) | </v>
      </c>
    </row>
    <row r="33" customFormat="false" ht="102.2" hidden="false" customHeight="false" outlineLevel="0" collapsed="false">
      <c r="A33" s="4" t="s">
        <v>226</v>
      </c>
      <c r="B33" s="3" t="s">
        <v>227</v>
      </c>
      <c r="C33" s="5" t="str">
        <f aca="false">B33&amp;"| "</f>
        <v>Schelling, Thomas C., Arms and Influence (New Heaven Yale University Press 2008). | </v>
      </c>
      <c r="D33" s="5" t="str">
        <f aca="false">D32&amp;C33</f>
        <v>Adamsky, Dmitry, The Culture of Military Innovation: The Impact of Cultural Factors on the Revolution in Military Affairs in Russia, the US, and Israel (Stanford Stanford University Press 2010). | Blake, Duncan, ‘Military Strategic Use of Outer Space’, in H. Nasu and R. McLaughlin (eds.) New Technologies and the Law of Armed Conflict (Hague: T.M.C. Asser Press 2014), 97–114. | Breznitz, Dan, ‘The Military as a Public Space: The Role of the IDF in the Israeli Software Innovation System’, MIT Working Paper IPC-02-004 (April 2002). | Brzoska, Michael, ‘Trends in Global Military and Civilian Research and Development (R&amp;D) and Their Changing Interface’, Proceedings of the International Seminar on Defence Finance and Economics 19 (2006). | Buzan, Barry and Eric Herring, The Arms Dynamic in World Politics (Boulder Lynne Rienner 1998). | Caspi-Shabbat, Tali and Or Glik, ‘Mahapechat hameida baolam hamivtsai harav-zroi betzahal [The Information Revolution in the IDF’s Multi-arm Operational World]’, Bein Haktavim 18 (2018), 38–47. | Cheung, Tai Ming, Thomas G. Mahnken, and Andrew L. Ross, ‘Frameworks for Analyzing Chinese Defense and Military Innovation’, in Tai Ming Cheung (ed.) Forging China’s Military Might: A New Framework for Assessing Innovation (Baltimore: Johns Hopkins University Press 2014), 15–46. | Chin, Warren, ‘Technology, War and the State: Past, Present and Future’, International Affairs 95/4 (2019), 765–83. doi:10.1093/ia/iiz106 | Eilam, Uzi, Keshet Eilam: hatechnologia hamitkademet [Eilam’s Arc: How Israel Became a Military Technology Powerhouse] (Tel Aviv Yedioth Ahronoth 2011). | Faglin, Gay, ‘Merutz hachidush: Technologiot mishariot vetzvaiyot beemtzaei lehima – nekudat haizun hamatima [The Innovation Race’: Commercial and Military Technologies in Military Systems – The Right Balance] (Haifa Chaikin Chair in Geostrategy 2018). | Fordham, Benjamin O., ‘A Very Sharp Sword: The Influence of Military Capabilities on American Decisions to Use Force’, Journal of Conflict Resolution 48/5 (2004), 632–56. doi:10.1177/0022002704267935 | Freilich, Charles D., Israeli National Security: A New Strategy for an Era of Change (New York Oxford University Press 2018). | Freilich, Charles D., Zion’s Dilemmas: How Israel Makes National Security Policy (Ithaca Cornell University Press 2012). | George, Alexander L., Forceful Persuasion: Coercive Diplomacy as an Alternative to War (Washington, D.C. United States Institute of Peace 1992). | Halevy, Hertzi A., Y. (full names unavailable), ‘Elionut modi’init beidan technologi [Intelligence Superiority in a Digital Era]’, Ma’arachot 477 (April 2018), 26–31. | Hershko, Tzila, ‘‘Haroman mithadesh?’ [Is the Love Affair Starting Over?]’, Ma’arachot 456 (2014), 34–37. | Holley, I. B., Technology and Military Doctrine: Essays on a Challenging Relationship (Maxwell Air University Press 2004). | Honig, Benson, Miri Lerner, and Yoel Raban, ‘Social Capital and the Linkages of High-Tech Companies to the Military Defense System: Is There a Signalling Mechanism?’, Small Business Economics 27/4–5 (2006), 419–37. doi:10.1007/s11187-005-5644-y | Jones, Clive and Yoel Guzansky, ‘Israel’s Relations with the Gulf States: Toward the Emergence of a Tacit Security Regime?’, Contemporary Security Policy 38/3 (2017), 398–419. doi:10.1080/13523260.2017.1292375 | Katz, Yaakov and Amir Bohbot, The Weapon Wizards: How Israel Became a High-Tech Military Superpower (New York: St. Martin’s Press 2017). | Krepinevich, Andrew, ‘Cavalry to Computer: The Pattern of Military Revolutions’, The National Interest 37 (1994), 30–42. | Lehman, Ronald F., ‘Future Technology and Strategic Stability’, in Elbridge A. Colby and Michael S. Gerson (eds.) Strategic Stability: Contending Interpretations (Carlisle: U.S. Army War College Press 2013), 147–99. | Levite, Ariel, Offense and Defense in Israeli Military Doctrine (New York Routledge 2019). | Levy, Yagil, ‘Social Convertibility and Militarism: Evaluations of the Development of Military-Society Relations in Israel in the Early 2000s’, Journal of Political and Military Sociology 31/1 (2003), 71–96. | Marcus, Raphael D., Israel’s Long War with Hezbollah: Military Innovation and Adaptation under Fire (Washington, D.C. Georgetown University Press 2018). | Nah, Liang Tuang, The Fourth Industrial Revolution’s Impact on Smaller Militaries: Boon or Bane? RSIS Working Paper no. 318 (Singapore: S. Rajaratnam School of International Studies 2018). | Nien, Clement Wee, Yong Tay Cheng Chuan, and Ho Jin Peng, ‘At the Leading Edge: The RSAF and the Fourth Industrial Revolution’, Pointer: Journal of the Singapore Armed Forces 44/2 (2018), 1–11. | Posen, Barry R., The Sources of Military Doctrine: France, Britain, and Germany between the World Wars (Ithaca Cornell University Press 1984). | Rabinovich, Itamar and Itai Brun, Israel Facing a New Middle East: In Search of National Security Strategy (Stanford Hoover Institution Press 2017). | Raska, Michael, ‘Strategic Competition for Emerging Military Technologies: Comparative Paths and Patterns’, Prism 8/3 (2019), 64–81. | Sandler, Ronald L. (ed.), Ethics and Emerging Technologies (New York: Palgrave Macmillan 2014) | Schelling, Thomas C., Arms and Influence (New Heaven Yale University Press 2008). | </v>
      </c>
    </row>
    <row r="34" customFormat="false" ht="180.55" hidden="false" customHeight="false" outlineLevel="0" collapsed="false">
      <c r="A34" s="4" t="s">
        <v>228</v>
      </c>
      <c r="B34" s="3" t="s">
        <v>228</v>
      </c>
      <c r="C34" s="5" t="str">
        <f aca="false">B34&amp;"| "</f>
        <v>Schulzke, Marcus, ‘Drone Proliferation and the Challenge of Regulating Dual-Use Technologies’, International Studies Review 21/3 (2019), 497–517. doi:10.1093/isr/viy047 | </v>
      </c>
      <c r="D34" s="5" t="str">
        <f aca="false">D33&amp;C34</f>
        <v>Adamsky, Dmitry, The Culture of Military Innovation: The Impact of Cultural Factors on the Revolution in Military Affairs in Russia, the US, and Israel (Stanford Stanford University Press 2010). | Blake, Duncan, ‘Military Strategic Use of Outer Space’, in H. Nasu and R. McLaughlin (eds.) New Technologies and the Law of Armed Conflict (Hague: T.M.C. Asser Press 2014), 97–114. | Breznitz, Dan, ‘The Military as a Public Space: The Role of the IDF in the Israeli Software Innovation System’, MIT Working Paper IPC-02-004 (April 2002). | Brzoska, Michael, ‘Trends in Global Military and Civilian Research and Development (R&amp;D) and Their Changing Interface’, Proceedings of the International Seminar on Defence Finance and Economics 19 (2006). | Buzan, Barry and Eric Herring, The Arms Dynamic in World Politics (Boulder Lynne Rienner 1998). | Caspi-Shabbat, Tali and Or Glik, ‘Mahapechat hameida baolam hamivtsai harav-zroi betzahal [The Information Revolution in the IDF’s Multi-arm Operational World]’, Bein Haktavim 18 (2018), 38–47. | Cheung, Tai Ming, Thomas G. Mahnken, and Andrew L. Ross, ‘Frameworks for Analyzing Chinese Defense and Military Innovation’, in Tai Ming Cheung (ed.) Forging China’s Military Might: A New Framework for Assessing Innovation (Baltimore: Johns Hopkins University Press 2014), 15–46. | Chin, Warren, ‘Technology, War and the State: Past, Present and Future’, International Affairs 95/4 (2019), 765–83. doi:10.1093/ia/iiz106 | Eilam, Uzi, Keshet Eilam: hatechnologia hamitkademet [Eilam’s Arc: How Israel Became a Military Technology Powerhouse] (Tel Aviv Yedioth Ahronoth 2011). | Faglin, Gay, ‘Merutz hachidush: Technologiot mishariot vetzvaiyot beemtzaei lehima – nekudat haizun hamatima [The Innovation Race’: Commercial and Military Technologies in Military Systems – The Right Balance] (Haifa Chaikin Chair in Geostrategy 2018). | Fordham, Benjamin O., ‘A Very Sharp Sword: The Influence of Military Capabilities on American Decisions to Use Force’, Journal of Conflict Resolution 48/5 (2004), 632–56. doi:10.1177/0022002704267935 | Freilich, Charles D., Israeli National Security: A New Strategy for an Era of Change (New York Oxford University Press 2018). | Freilich, Charles D., Zion’s Dilemmas: How Israel Makes National Security Policy (Ithaca Cornell University Press 2012). | George, Alexander L., Forceful Persuasion: Coercive Diplomacy as an Alternative to War (Washington, D.C. United States Institute of Peace 1992). | Halevy, Hertzi A., Y. (full names unavailable), ‘Elionut modi’init beidan technologi [Intelligence Superiority in a Digital Era]’, Ma’arachot 477 (April 2018), 26–31. | Hershko, Tzila, ‘‘Haroman mithadesh?’ [Is the Love Affair Starting Over?]’, Ma’arachot 456 (2014), 34–37. | Holley, I. B., Technology and Military Doctrine: Essays on a Challenging Relationship (Maxwell Air University Press 2004). | Honig, Benson, Miri Lerner, and Yoel Raban, ‘Social Capital and the Linkages of High-Tech Companies to the Military Defense System: Is There a Signalling Mechanism?’, Small Business Economics 27/4–5 (2006), 419–37. doi:10.1007/s11187-005-5644-y | Jones, Clive and Yoel Guzansky, ‘Israel’s Relations with the Gulf States: Toward the Emergence of a Tacit Security Regime?’, Contemporary Security Policy 38/3 (2017), 398–419. doi:10.1080/13523260.2017.1292375 | Katz, Yaakov and Amir Bohbot, The Weapon Wizards: How Israel Became a High-Tech Military Superpower (New York: St. Martin’s Press 2017). | Krepinevich, Andrew, ‘Cavalry to Computer: The Pattern of Military Revolutions’, The National Interest 37 (1994), 30–42. | Lehman, Ronald F., ‘Future Technology and Strategic Stability’, in Elbridge A. Colby and Michael S. Gerson (eds.) Strategic Stability: Contending Interpretations (Carlisle: U.S. Army War College Press 2013), 147–99. | Levite, Ariel, Offense and Defense in Israeli Military Doctrine (New York Routledge 2019). | Levy, Yagil, ‘Social Convertibility and Militarism: Evaluations of the Development of Military-Society Relations in Israel in the Early 2000s’, Journal of Political and Military Sociology 31/1 (2003), 71–96. | Marcus, Raphael D., Israel’s Long War with Hezbollah: Military Innovation and Adaptation under Fire (Washington, D.C. Georgetown University Press 2018). | Nah, Liang Tuang, The Fourth Industrial Revolution’s Impact on Smaller Militaries: Boon or Bane? RSIS Working Paper no. 318 (Singapore: S. Rajaratnam School of International Studies 2018). | Nien, Clement Wee, Yong Tay Cheng Chuan, and Ho Jin Peng, ‘At the Leading Edge: The RSAF and the Fourth Industrial Revolution’, Pointer: Journal of the Singapore Armed Forces 44/2 (2018), 1–11. | Posen, Barry R., The Sources of Military Doctrine: France, Britain, and Germany between the World Wars (Ithaca Cornell University Press 1984). | Rabinovich, Itamar and Itai Brun, Israel Facing a New Middle East: In Search of National Security Strategy (Stanford Hoover Institution Press 2017). | Raska, Michael, ‘Strategic Competition for Emerging Military Technologies: Comparative Paths and Patterns’, Prism 8/3 (2019), 64–81. | Sandler, Ronald L. (ed.), Ethics and Emerging Technologies (New York: Palgrave Macmillan 2014) | Schelling, Thomas C., Arms and Influence (New Heaven Yale University Press 2008). | Schulzke, Marcus, ‘Drone Proliferation and the Challenge of Regulating Dual-Use Technologies’, International Studies Review 21/3 (2019), 497–517. doi:10.1093/isr/viy047 | </v>
      </c>
    </row>
    <row r="35" customFormat="false" ht="113.4" hidden="false" customHeight="false" outlineLevel="0" collapsed="false">
      <c r="A35" s="4" t="s">
        <v>229</v>
      </c>
      <c r="B35" s="3" t="s">
        <v>230</v>
      </c>
      <c r="C35" s="5" t="str">
        <f aca="false">B35&amp;"| "</f>
        <v>Schwab, Klaus, The Fourth Industrial Revolution (New York Crown Business 2017). | </v>
      </c>
      <c r="D35" s="5" t="str">
        <f aca="false">D34&amp;C35</f>
        <v>Adamsky, Dmitry, The Culture of Military Innovation: The Impact of Cultural Factors on the Revolution in Military Affairs in Russia, the US, and Israel (Stanford Stanford University Press 2010). | Blake, Duncan, ‘Military Strategic Use of Outer Space’, in H. Nasu and R. McLaughlin (eds.) New Technologies and the Law of Armed Conflict (Hague: T.M.C. Asser Press 2014), 97–114. | Breznitz, Dan, ‘The Military as a Public Space: The Role of the IDF in the Israeli Software Innovation System’, MIT Working Paper IPC-02-004 (April 2002). | Brzoska, Michael, ‘Trends in Global Military and Civilian Research and Development (R&amp;D) and Their Changing Interface’, Proceedings of the International Seminar on Defence Finance and Economics 19 (2006). | Buzan, Barry and Eric Herring, The Arms Dynamic in World Politics (Boulder Lynne Rienner 1998). | Caspi-Shabbat, Tali and Or Glik, ‘Mahapechat hameida baolam hamivtsai harav-zroi betzahal [The Information Revolution in the IDF’s Multi-arm Operational World]’, Bein Haktavim 18 (2018), 38–47. | Cheung, Tai Ming, Thomas G. Mahnken, and Andrew L. Ross, ‘Frameworks for Analyzing Chinese Defense and Military Innovation’, in Tai Ming Cheung (ed.) Forging China’s Military Might: A New Framework for Assessing Innovation (Baltimore: Johns Hopkins University Press 2014), 15–46. | Chin, Warren, ‘Technology, War and the State: Past, Present and Future’, International Affairs 95/4 (2019), 765–83. doi:10.1093/ia/iiz106 | Eilam, Uzi, Keshet Eilam: hatechnologia hamitkademet [Eilam’s Arc: How Israel Became a Military Technology Powerhouse] (Tel Aviv Yedioth Ahronoth 2011). | Faglin, Gay, ‘Merutz hachidush: Technologiot mishariot vetzvaiyot beemtzaei lehima – nekudat haizun hamatima [The Innovation Race’: Commercial and Military Technologies in Military Systems – The Right Balance] (Haifa Chaikin Chair in Geostrategy 2018). | Fordham, Benjamin O., ‘A Very Sharp Sword: The Influence of Military Capabilities on American Decisions to Use Force’, Journal of Conflict Resolution 48/5 (2004), 632–56. doi:10.1177/0022002704267935 | Freilich, Charles D., Israeli National Security: A New Strategy for an Era of Change (New York Oxford University Press 2018). | Freilich, Charles D., Zion’s Dilemmas: How Israel Makes National Security Policy (Ithaca Cornell University Press 2012). | George, Alexander L., Forceful Persuasion: Coercive Diplomacy as an Alternative to War (Washington, D.C. United States Institute of Peace 1992). | Halevy, Hertzi A., Y. (full names unavailable), ‘Elionut modi’init beidan technologi [Intelligence Superiority in a Digital Era]’, Ma’arachot 477 (April 2018), 26–31. | Hershko, Tzila, ‘‘Haroman mithadesh?’ [Is the Love Affair Starting Over?]’, Ma’arachot 456 (2014), 34–37. | Holley, I. B., Technology and Military Doctrine: Essays on a Challenging Relationship (Maxwell Air University Press 2004). | Honig, Benson, Miri Lerner, and Yoel Raban, ‘Social Capital and the Linkages of High-Tech Companies to the Military Defense System: Is There a Signalling Mechanism?’, Small Business Economics 27/4–5 (2006), 419–37. doi:10.1007/s11187-005-5644-y | Jones, Clive and Yoel Guzansky, ‘Israel’s Relations with the Gulf States: Toward the Emergence of a Tacit Security Regime?’, Contemporary Security Policy 38/3 (2017), 398–419. doi:10.1080/13523260.2017.1292375 | Katz, Yaakov and Amir Bohbot, The Weapon Wizards: How Israel Became a High-Tech Military Superpower (New York: St. Martin’s Press 2017). | Krepinevich, Andrew, ‘Cavalry to Computer: The Pattern of Military Revolutions’, The National Interest 37 (1994), 30–42. | Lehman, Ronald F., ‘Future Technology and Strategic Stability’, in Elbridge A. Colby and Michael S. Gerson (eds.) Strategic Stability: Contending Interpretations (Carlisle: U.S. Army War College Press 2013), 147–99. | Levite, Ariel, Offense and Defense in Israeli Military Doctrine (New York Routledge 2019). | Levy, Yagil, ‘Social Convertibility and Militarism: Evaluations of the Development of Military-Society Relations in Israel in the Early 2000s’, Journal of Political and Military Sociology 31/1 (2003), 71–96. | Marcus, Raphael D., Israel’s Long War with Hezbollah: Military Innovation and Adaptation under Fire (Washington, D.C. Georgetown University Press 2018). | Nah, Liang Tuang, The Fourth Industrial Revolution’s Impact on Smaller Militaries: Boon or Bane? RSIS Working Paper no. 318 (Singapore: S. Rajaratnam School of International Studies 2018). | Nien, Clement Wee, Yong Tay Cheng Chuan, and Ho Jin Peng, ‘At the Leading Edge: The RSAF and the Fourth Industrial Revolution’, Pointer: Journal of the Singapore Armed Forces 44/2 (2018), 1–11. | Posen, Barry R., The Sources of Military Doctrine: France, Britain, and Germany between the World Wars (Ithaca Cornell University Press 1984). | Rabinovich, Itamar and Itai Brun, Israel Facing a New Middle East: In Search of National Security Strategy (Stanford Hoover Institution Press 2017). | Raska, Michael, ‘Strategic Competition for Emerging Military Technologies: Comparative Paths and Patterns’, Prism 8/3 (2019), 64–81. | Sandler, Ronald L. (ed.), Ethics and Emerging Technologies (New York: Palgrave Macmillan 2014) | Schelling, Thomas C., Arms and Influence (New Heaven Yale University Press 2008). | Schulzke, Marcus, ‘Drone Proliferation and the Challenge of Regulating Dual-Use Technologies’, International Studies Review 21/3 (2019), 497–517. doi:10.1093/isr/viy047 | Schwab, Klaus, The Fourth Industrial Revolution (New York Crown Business 2017). | </v>
      </c>
    </row>
    <row r="36" customFormat="false" ht="214.15" hidden="false" customHeight="false" outlineLevel="0" collapsed="false">
      <c r="A36" s="4" t="s">
        <v>231</v>
      </c>
      <c r="B36" s="3" t="s">
        <v>231</v>
      </c>
      <c r="C36" s="5" t="str">
        <f aca="false">B36&amp;"| "</f>
        <v>Sechser, Todd S., Neil Narang, and Caitlin Talmadge, ‘Emerging Technologies and Strategic Stability in Peacetime, Crisis, and War’, Journal of Strategic Studies 42/6 (2019), 727–35. doi:10.1080/01402390.2019.1626725 | </v>
      </c>
      <c r="D36" s="5" t="str">
        <f aca="false">D35&amp;C36</f>
        <v>Adamsky, Dmitry, The Culture of Military Innovation: The Impact of Cultural Factors on the Revolution in Military Affairs in Russia, the US, and Israel (Stanford Stanford University Press 2010). | Blake, Duncan, ‘Military Strategic Use of Outer Space’, in H. Nasu and R. McLaughlin (eds.) New Technologies and the Law of Armed Conflict (Hague: T.M.C. Asser Press 2014), 97–114. | Breznitz, Dan, ‘The Military as a Public Space: The Role of the IDF in the Israeli Software Innovation System’, MIT Working Paper IPC-02-004 (April 2002). | Brzoska, Michael, ‘Trends in Global Military and Civilian Research and Development (R&amp;D) and Their Changing Interface’, Proceedings of the International Seminar on Defence Finance and Economics 19 (2006). | Buzan, Barry and Eric Herring, The Arms Dynamic in World Politics (Boulder Lynne Rienner 1998). | Caspi-Shabbat, Tali and Or Glik, ‘Mahapechat hameida baolam hamivtsai harav-zroi betzahal [The Information Revolution in the IDF’s Multi-arm Operational World]’, Bein Haktavim 18 (2018), 38–47. | Cheung, Tai Ming, Thomas G. Mahnken, and Andrew L. Ross, ‘Frameworks for Analyzing Chinese Defense and Military Innovation’, in Tai Ming Cheung (ed.) Forging China’s Military Might: A New Framework for Assessing Innovation (Baltimore: Johns Hopkins University Press 2014), 15–46. | Chin, Warren, ‘Technology, War and the State: Past, Present and Future’, International Affairs 95/4 (2019), 765–83. doi:10.1093/ia/iiz106 | Eilam, Uzi, Keshet Eilam: hatechnologia hamitkademet [Eilam’s Arc: How Israel Became a Military Technology Powerhouse] (Tel Aviv Yedioth Ahronoth 2011). | Faglin, Gay, ‘Merutz hachidush: Technologiot mishariot vetzvaiyot beemtzaei lehima – nekudat haizun hamatima [The Innovation Race’: Commercial and Military Technologies in Military Systems – The Right Balance] (Haifa Chaikin Chair in Geostrategy 2018). | Fordham, Benjamin O., ‘A Very Sharp Sword: The Influence of Military Capabilities on American Decisions to Use Force’, Journal of Conflict Resolution 48/5 (2004), 632–56. doi:10.1177/0022002704267935 | Freilich, Charles D., Israeli National Security: A New Strategy for an Era of Change (New York Oxford University Press 2018). | Freilich, Charles D., Zion’s Dilemmas: How Israel Makes National Security Policy (Ithaca Cornell University Press 2012). | George, Alexander L., Forceful Persuasion: Coercive Diplomacy as an Alternative to War (Washington, D.C. United States Institute of Peace 1992). | Halevy, Hertzi A., Y. (full names unavailable), ‘Elionut modi’init beidan technologi [Intelligence Superiority in a Digital Era]’, Ma’arachot 477 (April 2018), 26–31. | Hershko, Tzila, ‘‘Haroman mithadesh?’ [Is the Love Affair Starting Over?]’, Ma’arachot 456 (2014), 34–37. | Holley, I. B., Technology and Military Doctrine: Essays on a Challenging Relationship (Maxwell Air University Press 2004). | Honig, Benson, Miri Lerner, and Yoel Raban, ‘Social Capital and the Linkages of High-Tech Companies to the Military Defense System: Is There a Signalling Mechanism?’, Small Business Economics 27/4–5 (2006), 419–37. doi:10.1007/s11187-005-5644-y | Jones, Clive and Yoel Guzansky, ‘Israel’s Relations with the Gulf States: Toward the Emergence of a Tacit Security Regime?’, Contemporary Security Policy 38/3 (2017), 398–419. doi:10.1080/13523260.2017.1292375 | Katz, Yaakov and Amir Bohbot, The Weapon Wizards: How Israel Became a High-Tech Military Superpower (New York: St. Martin’s Press 2017). | Krepinevich, Andrew, ‘Cavalry to Computer: The Pattern of Military Revolutions’, The National Interest 37 (1994), 30–42. | Lehman, Ronald F., ‘Future Technology and Strategic Stability’, in Elbridge A. Colby and Michael S. Gerson (eds.) Strategic Stability: Contending Interpretations (Carlisle: U.S. Army War College Press 2013), 147–99. | Levite, Ariel, Offense and Defense in Israeli Military Doctrine (New York Routledge 2019). | Levy, Yagil, ‘Social Convertibility and Militarism: Evaluations of the Development of Military-Society Relations in Israel in the Early 2000s’, Journal of Political and Military Sociology 31/1 (2003), 71–96. | Marcus, Raphael D., Israel’s Long War with Hezbollah: Military Innovation and Adaptation under Fire (Washington, D.C. Georgetown University Press 2018). | Nah, Liang Tuang, The Fourth Industrial Revolution’s Impact on Smaller Militaries: Boon or Bane? RSIS Working Paper no. 318 (Singapore: S. Rajaratnam School of International Studies 2018). | Nien, Clement Wee, Yong Tay Cheng Chuan, and Ho Jin Peng, ‘At the Leading Edge: The RSAF and the Fourth Industrial Revolution’, Pointer: Journal of the Singapore Armed Forces 44/2 (2018), 1–11. | Posen, Barry R., The Sources of Military Doctrine: France, Britain, and Germany between the World Wars (Ithaca Cornell University Press 1984). | Rabinovich, Itamar and Itai Brun, Israel Facing a New Middle East: In Search of National Security Strategy (Stanford Hoover Institution Press 2017). | Raska, Michael, ‘Strategic Competition for Emerging Military Technologies: Comparative Paths and Patterns’, Prism 8/3 (2019), 64–81. | Sandler, Ronald L. (ed.), Ethics and Emerging Technologies (New York: Palgrave Macmillan 2014) | Schelling, Thomas C., Arms and Influence (New Heaven Yale University Press 2008). | Schulzke, Marcus, ‘Drone Proliferation and the Challenge of Regulating Dual-Use Technologies’, International Studies Review 21/3 (2019), 497–517. doi:10.1093/isr/viy047 | Schwab, Klaus, The Fourth Industrial Revolution (New York Crown Business 2017). | Sechser, Todd S., Neil Narang, and Caitlin Talmadge, ‘Emerging Technologies and Strategic Stability in Peacetime, Crisis, and War’, Journal of Strategic Studies 42/6 (2019), 727–35. doi:10.1080/01402390.2019.1626725 | </v>
      </c>
    </row>
    <row r="37" customFormat="false" ht="158.2" hidden="false" customHeight="false" outlineLevel="0" collapsed="false">
      <c r="A37" s="4" t="s">
        <v>232</v>
      </c>
      <c r="B37" s="3" t="s">
        <v>233</v>
      </c>
      <c r="C37" s="5" t="str">
        <f aca="false">B37&amp;"| "</f>
        <v>Sevini, Filippo et al., ‘Emerging Dual-Use Technologies and Global Supply Chain Compliance’, IAEA Symposium on International Safeguards, Vienna, 2018. | </v>
      </c>
      <c r="D37" s="5" t="str">
        <f aca="false">D36&amp;C37</f>
        <v>Adamsky, Dmitry, The Culture of Military Innovation: The Impact of Cultural Factors on the Revolution in Military Affairs in Russia, the US, and Israel (Stanford Stanford University Press 2010). | Blake, Duncan, ‘Military Strategic Use of Outer Space’, in H. Nasu and R. McLaughlin (eds.) New Technologies and the Law of Armed Conflict (Hague: T.M.C. Asser Press 2014), 97–114. | Breznitz, Dan, ‘The Military as a Public Space: The Role of the IDF in the Israeli Software Innovation System’, MIT Working Paper IPC-02-004 (April 2002). | Brzoska, Michael, ‘Trends in Global Military and Civilian Research and Development (R&amp;D) and Their Changing Interface’, Proceedings of the International Seminar on Defence Finance and Economics 19 (2006). | Buzan, Barry and Eric Herring, The Arms Dynamic in World Politics (Boulder Lynne Rienner 1998). | Caspi-Shabbat, Tali and Or Glik, ‘Mahapechat hameida baolam hamivtsai harav-zroi betzahal [The Information Revolution in the IDF’s Multi-arm Operational World]’, Bein Haktavim 18 (2018), 38–47. | Cheung, Tai Ming, Thomas G. Mahnken, and Andrew L. Ross, ‘Frameworks for Analyzing Chinese Defense and Military Innovation’, in Tai Ming Cheung (ed.) Forging China’s Military Might: A New Framework for Assessing Innovation (Baltimore: Johns Hopkins University Press 2014), 15–46. | Chin, Warren, ‘Technology, War and the State: Past, Present and Future’, International Affairs 95/4 (2019), 765–83. doi:10.1093/ia/iiz106 | Eilam, Uzi, Keshet Eilam: hatechnologia hamitkademet [Eilam’s Arc: How Israel Became a Military Technology Powerhouse] (Tel Aviv Yedioth Ahronoth 2011). | Faglin, Gay, ‘Merutz hachidush: Technologiot mishariot vetzvaiyot beemtzaei lehima – nekudat haizun hamatima [The Innovation Race’: Commercial and Military Technologies in Military Systems – The Right Balance] (Haifa Chaikin Chair in Geostrategy 2018). | Fordham, Benjamin O., ‘A Very Sharp Sword: The Influence of Military Capabilities on American Decisions to Use Force’, Journal of Conflict Resolution 48/5 (2004), 632–56. doi:10.1177/0022002704267935 | Freilich, Charles D., Israeli National Security: A New Strategy for an Era of Change (New York Oxford University Press 2018). | Freilich, Charles D., Zion’s Dilemmas: How Israel Makes National Security Policy (Ithaca Cornell University Press 2012). | George, Alexander L., Forceful Persuasion: Coercive Diplomacy as an Alternative to War (Washington, D.C. United States Institute of Peace 1992). | Halevy, Hertzi A., Y. (full names unavailable), ‘Elionut modi’init beidan technologi [Intelligence Superiority in a Digital Era]’, Ma’arachot 477 (April 2018), 26–31. | Hershko, Tzila, ‘‘Haroman mithadesh?’ [Is the Love Affair Starting Over?]’, Ma’arachot 456 (2014), 34–37. | Holley, I. B., Technology and Military Doctrine: Essays on a Challenging Relationship (Maxwell Air University Press 2004). | Honig, Benson, Miri Lerner, and Yoel Raban, ‘Social Capital and the Linkages of High-Tech Companies to the Military Defense System: Is There a Signalling Mechanism?’, Small Business Economics 27/4–5 (2006), 419–37. doi:10.1007/s11187-005-5644-y | Jones, Clive and Yoel Guzansky, ‘Israel’s Relations with the Gulf States: Toward the Emergence of a Tacit Security Regime?’, Contemporary Security Policy 38/3 (2017), 398–419. doi:10.1080/13523260.2017.1292375 | Katz, Yaakov and Amir Bohbot, The Weapon Wizards: How Israel Became a High-Tech Military Superpower (New York: St. Martin’s Press 2017). | Krepinevich, Andrew, ‘Cavalry to Computer: The Pattern of Military Revolutions’, The National Interest 37 (1994), 30–42. | Lehman, Ronald F., ‘Future Technology and Strategic Stability’, in Elbridge A. Colby and Michael S. Gerson (eds.) Strategic Stability: Contending Interpretations (Carlisle: U.S. Army War College Press 2013), 147–99. | Levite, Ariel, Offense and Defense in Israeli Military Doctrine (New York Routledge 2019). | Levy, Yagil, ‘Social Convertibility and Militarism: Evaluations of the Development of Military-Society Relations in Israel in the Early 2000s’, Journal of Political and Military Sociology 31/1 (2003), 71–96. | Marcus, Raphael D., Israel’s Long War with Hezbollah: Military Innovation and Adaptation under Fire (Washington, D.C. Georgetown University Press 2018). | Nah, Liang Tuang, The Fourth Industrial Revolution’s Impact on Smaller Militaries: Boon or Bane? RSIS Working Paper no. 318 (Singapore: S. Rajaratnam School of International Studies 2018). | Nien, Clement Wee, Yong Tay Cheng Chuan, and Ho Jin Peng, ‘At the Leading Edge: The RSAF and the Fourth Industrial Revolution’, Pointer: Journal of the Singapore Armed Forces 44/2 (2018), 1–11. | Posen, Barry R., The Sources of Military Doctrine: France, Britain, and Germany between the World Wars (Ithaca Cornell University Press 1984). | Rabinovich, Itamar and Itai Brun, Israel Facing a New Middle East: In Search of National Security Strategy (Stanford Hoover Institution Press 2017). | Raska, Michael, ‘Strategic Competition for Emerging Military Technologies: Comparative Paths and Patterns’, Prism 8/3 (2019), 64–81. | Sandler, Ronald L. (ed.), Ethics and Emerging Technologies (New York: Palgrave Macmillan 2014) | Schelling, Thomas C., Arms and Influence (New Heaven Yale University Press 2008). | Schulzke, Marcus, ‘Drone Proliferation and the Challenge of Regulating Dual-Use Technologies’, International Studies Review 21/3 (2019), 497–517. doi:10.1093/isr/viy047 | Schwab, Klaus, The Fourth Industrial Revolution (New York Crown Business 2017). | Sechser, Todd S., Neil Narang, and Caitlin Talmadge, ‘Emerging Technologies and Strategic Stability in Peacetime, Crisis, and War’, Journal of Strategic Studies 42/6 (2019), 727–35. doi:10.1080/01402390.2019.1626725 | Sevini, Filippo et al., ‘Emerging Dual-Use Technologies and Global Supply Chain Compliance’, IAEA Symposium on International Safeguards, Vienna, 2018. | </v>
      </c>
    </row>
    <row r="38" customFormat="false" ht="147" hidden="false" customHeight="false" outlineLevel="0" collapsed="false">
      <c r="A38" s="4" t="s">
        <v>234</v>
      </c>
      <c r="B38" s="3" t="s">
        <v>234</v>
      </c>
      <c r="C38" s="5" t="str">
        <f aca="false">B38&amp;"| "</f>
        <v>Swed, Ori and John S. Butler, ‘Military Capital in the Israeli Hi-tech Industry’, Armed Forces &amp; Society 41/1 (2015), 123–41. doi:10.1177/0095327X13499562 | </v>
      </c>
      <c r="D38" s="5" t="str">
        <f aca="false">D37&amp;C38</f>
        <v>Adamsky, Dmitry, The Culture of Military Innovation: The Impact of Cultural Factors on the Revolution in Military Affairs in Russia, the US, and Israel (Stanford Stanford University Press 2010). | Blake, Duncan, ‘Military Strategic Use of Outer Space’, in H. Nasu and R. McLaughlin (eds.) New Technologies and the Law of Armed Conflict (Hague: T.M.C. Asser Press 2014), 97–114. | Breznitz, Dan, ‘The Military as a Public Space: The Role of the IDF in the Israeli Software Innovation System’, MIT Working Paper IPC-02-004 (April 2002). | Brzoska, Michael, ‘Trends in Global Military and Civilian Research and Development (R&amp;D) and Their Changing Interface’, Proceedings of the International Seminar on Defence Finance and Economics 19 (2006). | Buzan, Barry and Eric Herring, The Arms Dynamic in World Politics (Boulder Lynne Rienner 1998). | Caspi-Shabbat, Tali and Or Glik, ‘Mahapechat hameida baolam hamivtsai harav-zroi betzahal [The Information Revolution in the IDF’s Multi-arm Operational World]’, Bein Haktavim 18 (2018), 38–47. | Cheung, Tai Ming, Thomas G. Mahnken, and Andrew L. Ross, ‘Frameworks for Analyzing Chinese Defense and Military Innovation’, in Tai Ming Cheung (ed.) Forging China’s Military Might: A New Framework for Assessing Innovation (Baltimore: Johns Hopkins University Press 2014), 15–46. | Chin, Warren, ‘Technology, War and the State: Past, Present and Future’, International Affairs 95/4 (2019), 765–83. doi:10.1093/ia/iiz106 | Eilam, Uzi, Keshet Eilam: hatechnologia hamitkademet [Eilam’s Arc: How Israel Became a Military Technology Powerhouse] (Tel Aviv Yedioth Ahronoth 2011). | Faglin, Gay, ‘Merutz hachidush: Technologiot mishariot vetzvaiyot beemtzaei lehima – nekudat haizun hamatima [The Innovation Race’: Commercial and Military Technologies in Military Systems – The Right Balance] (Haifa Chaikin Chair in Geostrategy 2018). | Fordham, Benjamin O., ‘A Very Sharp Sword: The Influence of Military Capabilities on American Decisions to Use Force’, Journal of Conflict Resolution 48/5 (2004), 632–56. doi:10.1177/0022002704267935 | Freilich, Charles D., Israeli National Security: A New Strategy for an Era of Change (New York Oxford University Press 2018). | Freilich, Charles D., Zion’s Dilemmas: How Israel Makes National Security Policy (Ithaca Cornell University Press 2012). | George, Alexander L., Forceful Persuasion: Coercive Diplomacy as an Alternative to War (Washington, D.C. United States Institute of Peace 1992). | Halevy, Hertzi A., Y. (full names unavailable), ‘Elionut modi’init beidan technologi [Intelligence Superiority in a Digital Era]’, Ma’arachot 477 (April 2018), 26–31. | Hershko, Tzila, ‘‘Haroman mithadesh?’ [Is the Love Affair Starting Over?]’, Ma’arachot 456 (2014), 34–37. | Holley, I. B., Technology and Military Doctrine: Essays on a Challenging Relationship (Maxwell Air University Press 2004). | Honig, Benson, Miri Lerner, and Yoel Raban, ‘Social Capital and the Linkages of High-Tech Companies to the Military Defense System: Is There a Signalling Mechanism?’, Small Business Economics 27/4–5 (2006), 419–37. doi:10.1007/s11187-005-5644-y | Jones, Clive and Yoel Guzansky, ‘Israel’s Relations with the Gulf States: Toward the Emergence of a Tacit Security Regime?’, Contemporary Security Policy 38/3 (2017), 398–419. doi:10.1080/13523260.2017.1292375 | Katz, Yaakov and Amir Bohbot, The Weapon Wizards: How Israel Became a High-Tech Military Superpower (New York: St. Martin’s Press 2017). | Krepinevich, Andrew, ‘Cavalry to Computer: The Pattern of Military Revolutions’, The National Interest 37 (1994), 30–42. | Lehman, Ronald F., ‘Future Technology and Strategic Stability’, in Elbridge A. Colby and Michael S. Gerson (eds.) Strategic Stability: Contending Interpretations (Carlisle: U.S. Army War College Press 2013), 147–99. | Levite, Ariel, Offense and Defense in Israeli Military Doctrine (New York Routledge 2019). | Levy, Yagil, ‘Social Convertibility and Militarism: Evaluations of the Development of Military-Society Relations in Israel in the Early 2000s’, Journal of Political and Military Sociology 31/1 (2003), 71–96. | Marcus, Raphael D., Israel’s Long War with Hezbollah: Military Innovation and Adaptation under Fire (Washington, D.C. Georgetown University Press 2018). | Nah, Liang Tuang, The Fourth Industrial Revolution’s Impact on Smaller Militaries: Boon or Bane? RSIS Working Paper no. 318 (Singapore: S. Rajaratnam School of International Studies 2018). | Nien, Clement Wee, Yong Tay Cheng Chuan, and Ho Jin Peng, ‘At the Leading Edge: The RSAF and the Fourth Industrial Revolution’, Pointer: Journal of the Singapore Armed Forces 44/2 (2018), 1–11. | Posen, Barry R., The Sources of Military Doctrine: France, Britain, and Germany between the World Wars (Ithaca Cornell University Press 1984). | Rabinovich, Itamar and Itai Brun, Israel Facing a New Middle East: In Search of National Security Strategy (Stanford Hoover Institution Press 2017). | Raska, Michael, ‘Strategic Competition for Emerging Military Technologies: Comparative Paths and Patterns’, Prism 8/3 (2019), 64–81. | Sandler, Ronald L. (ed.), Ethics and Emerging Technologies (New York: Palgrave Macmillan 2014) | Schelling, Thomas C., Arms and Influence (New Heaven Yale University Press 2008). | Schulzke, Marcus, ‘Drone Proliferation and the Challenge of Regulating Dual-Use Technologies’, International Studies Review 21/3 (2019), 497–517. doi:10.1093/isr/viy047 | Schwab, Klaus, The Fourth Industrial Revolution (New York Crown Business 2017). | Sechser, Todd S., Neil Narang, and Caitlin Talmadge, ‘Emerging Technologies and Strategic Stability in Peacetime, Crisis, and War’, Journal of Strategic Studies 42/6 (2019), 727–35. doi:10.1080/01402390.2019.1626725 | Sevini, Filippo et al., ‘Emerging Dual-Use Technologies and Global Supply Chain Compliance’, IAEA Symposium on International Safeguards, Vienna, 2018. | Swed, Ori and John S. Butler, ‘Military Capital in the Israeli Hi-tech Industry’, Armed Forces &amp; Society 41/1 (2015), 123–41. doi:10.1177/0095327X13499562 | </v>
      </c>
    </row>
    <row r="39" customFormat="false" ht="124.6" hidden="false" customHeight="false" outlineLevel="0" collapsed="false">
      <c r="A39" s="4" t="s">
        <v>235</v>
      </c>
      <c r="B39" s="3" t="s">
        <v>236</v>
      </c>
      <c r="C39" s="5" t="str">
        <f aca="false">B39&amp;"| "</f>
        <v>Tal, Israel, Bitachon leumi: meatim mul rabim [National Security: The Few against the Many] (Tel Aviv Dvir 1996). | </v>
      </c>
      <c r="D39" s="5" t="str">
        <f aca="false">D38&amp;C39</f>
        <v>Adamsky, Dmitry, The Culture of Military Innovation: The Impact of Cultural Factors on the Revolution in Military Affairs in Russia, the US, and Israel (Stanford Stanford University Press 2010). | Blake, Duncan, ‘Military Strategic Use of Outer Space’, in H. Nasu and R. McLaughlin (eds.) New Technologies and the Law of Armed Conflict (Hague: T.M.C. Asser Press 2014), 97–114. | Breznitz, Dan, ‘The Military as a Public Space: The Role of the IDF in the Israeli Software Innovation System’, MIT Working Paper IPC-02-004 (April 2002). | Brzoska, Michael, ‘Trends in Global Military and Civilian Research and Development (R&amp;D) and Their Changing Interface’, Proceedings of the International Seminar on Defence Finance and Economics 19 (2006). | Buzan, Barry and Eric Herring, The Arms Dynamic in World Politics (Boulder Lynne Rienner 1998). | Caspi-Shabbat, Tali and Or Glik, ‘Mahapechat hameida baolam hamivtsai harav-zroi betzahal [The Information Revolution in the IDF’s Multi-arm Operational World]’, Bein Haktavim 18 (2018), 38–47. | Cheung, Tai Ming, Thomas G. Mahnken, and Andrew L. Ross, ‘Frameworks for Analyzing Chinese Defense and Military Innovation’, in Tai Ming Cheung (ed.) Forging China’s Military Might: A New Framework for Assessing Innovation (Baltimore: Johns Hopkins University Press 2014), 15–46. | Chin, Warren, ‘Technology, War and the State: Past, Present and Future’, International Affairs 95/4 (2019), 765–83. doi:10.1093/ia/iiz106 | Eilam, Uzi, Keshet Eilam: hatechnologia hamitkademet [Eilam’s Arc: How Israel Became a Military Technology Powerhouse] (Tel Aviv Yedioth Ahronoth 2011). | Faglin, Gay, ‘Merutz hachidush: Technologiot mishariot vetzvaiyot beemtzaei lehima – nekudat haizun hamatima [The Innovation Race’: Commercial and Military Technologies in Military Systems – The Right Balance] (Haifa Chaikin Chair in Geostrategy 2018). | Fordham, Benjamin O., ‘A Very Sharp Sword: The Influence of Military Capabilities on American Decisions to Use Force’, Journal of Conflict Resolution 48/5 (2004), 632–56. doi:10.1177/0022002704267935 | Freilich, Charles D., Israeli National Security: A New Strategy for an Era of Change (New York Oxford University Press 2018). | Freilich, Charles D., Zion’s Dilemmas: How Israel Makes National Security Policy (Ithaca Cornell University Press 2012). | George, Alexander L., Forceful Persuasion: Coercive Diplomacy as an Alternative to War (Washington, D.C. United States Institute of Peace 1992). | Halevy, Hertzi A., Y. (full names unavailable), ‘Elionut modi’init beidan technologi [Intelligence Superiority in a Digital Era]’, Ma’arachot 477 (April 2018), 26–31. | Hershko, Tzila, ‘‘Haroman mithadesh?’ [Is the Love Affair Starting Over?]’, Ma’arachot 456 (2014), 34–37. | Holley, I. B., Technology and Military Doctrine: Essays on a Challenging Relationship (Maxwell Air University Press 2004). | Honig, Benson, Miri Lerner, and Yoel Raban, ‘Social Capital and the Linkages of High-Tech Companies to the Military Defense System: Is There a Signalling Mechanism?’, Small Business Economics 27/4–5 (2006), 419–37. doi:10.1007/s11187-005-5644-y | Jones, Clive and Yoel Guzansky, ‘Israel’s Relations with the Gulf States: Toward the Emergence of a Tacit Security Regime?’, Contemporary Security Policy 38/3 (2017), 398–419. doi:10.1080/13523260.2017.1292375 | Katz, Yaakov and Amir Bohbot, The Weapon Wizards: How Israel Became a High-Tech Military Superpower (New York: St. Martin’s Press 2017). | Krepinevich, Andrew, ‘Cavalry to Computer: The Pattern of Military Revolutions’, The National Interest 37 (1994), 30–42. | Lehman, Ronald F., ‘Future Technology and Strategic Stability’, in Elbridge A. Colby and Michael S. Gerson (eds.) Strategic Stability: Contending Interpretations (Carlisle: U.S. Army War College Press 2013), 147–99. | Levite, Ariel, Offense and Defense in Israeli Military Doctrine (New York Routledge 2019). | Levy, Yagil, ‘Social Convertibility and Militarism: Evaluations of the Development of Military-Society Relations in Israel in the Early 2000s’, Journal of Political and Military Sociology 31/1 (2003), 71–96. | Marcus, Raphael D., Israel’s Long War with Hezbollah: Military Innovation and Adaptation under Fire (Washington, D.C. Georgetown University Press 2018). | Nah, Liang Tuang, The Fourth Industrial Revolution’s Impact on Smaller Militaries: Boon or Bane? RSIS Working Paper no. 318 (Singapore: S. Rajaratnam School of International Studies 2018). | Nien, Clement Wee, Yong Tay Cheng Chuan, and Ho Jin Peng, ‘At the Leading Edge: The RSAF and the Fourth Industrial Revolution’, Pointer: Journal of the Singapore Armed Forces 44/2 (2018), 1–11. | Posen, Barry R., The Sources of Military Doctrine: France, Britain, and Germany between the World Wars (Ithaca Cornell University Press 1984). | Rabinovich, Itamar and Itai Brun, Israel Facing a New Middle East: In Search of National Security Strategy (Stanford Hoover Institution Press 2017). | Raska, Michael, ‘Strategic Competition for Emerging Military Technologies: Comparative Paths and Patterns’, Prism 8/3 (2019), 64–81. | Sandler, Ronald L. (ed.), Ethics and Emerging Technologies (New York: Palgrave Macmillan 2014) | Schelling, Thomas C., Arms and Influence (New Heaven Yale University Press 2008). | Schulzke, Marcus, ‘Drone Proliferation and the Challenge of Regulating Dual-Use Technologies’, International Studies Review 21/3 (2019), 497–517. doi:10.1093/isr/viy047 | Schwab, Klaus, The Fourth Industrial Revolution (New York Crown Business 2017). | Sechser, Todd S., Neil Narang, and Caitlin Talmadge, ‘Emerging Technologies and Strategic Stability in Peacetime, Crisis, and War’, Journal of Strategic Studies 42/6 (2019), 727–35. doi:10.1080/01402390.2019.1626725 | Sevini, Filippo et al., ‘Emerging Dual-Use Technologies and Global Supply Chain Compliance’, IAEA Symposium on International Safeguards, Vienna, 2018. | Swed, Ori and John S. Butler, ‘Military Capital in the Israeli Hi-tech Industry’, Armed Forces &amp; Society 41/1 (2015), 123–41. doi:10.1177/0095327X13499562 | Tal, Israel, Bitachon leumi: meatim mul rabim [National Security: The Few against the Many] (Tel Aviv Dvir 1996). | </v>
      </c>
    </row>
    <row r="40" customFormat="false" ht="202.95" hidden="false" customHeight="false" outlineLevel="0" collapsed="false">
      <c r="A40" s="4" t="s">
        <v>237</v>
      </c>
      <c r="B40" s="3" t="s">
        <v>237</v>
      </c>
      <c r="C40" s="5" t="str">
        <f aca="false">B40&amp;"| "</f>
        <v>Volpe, Tristan A., ‘Dual-use Distinguishability: How 3D-printing Shapes the Security Dilemma for Nuclear Programs’, Journal of Strategic Studies 42/6 (2019), 814–40. doi:10.1080/01402390.2019.1627210 | </v>
      </c>
      <c r="D40" s="5" t="str">
        <f aca="false">D39&amp;C40</f>
        <v>Adamsky, Dmitry, The Culture of Military Innovation: The Impact of Cultural Factors on the Revolution in Military Affairs in Russia, the US, and Israel (Stanford Stanford University Press 2010). | Blake, Duncan, ‘Military Strategic Use of Outer Space’, in H. Nasu and R. McLaughlin (eds.) New Technologies and the Law of Armed Conflict (Hague: T.M.C. Asser Press 2014), 97–114. | Breznitz, Dan, ‘The Military as a Public Space: The Role of the IDF in the Israeli Software Innovation System’, MIT Working Paper IPC-02-004 (April 2002). | Brzoska, Michael, ‘Trends in Global Military and Civilian Research and Development (R&amp;D) and Their Changing Interface’, Proceedings of the International Seminar on Defence Finance and Economics 19 (2006). | Buzan, Barry and Eric Herring, The Arms Dynamic in World Politics (Boulder Lynne Rienner 1998). | Caspi-Shabbat, Tali and Or Glik, ‘Mahapechat hameida baolam hamivtsai harav-zroi betzahal [The Information Revolution in the IDF’s Multi-arm Operational World]’, Bein Haktavim 18 (2018), 38–47. | Cheung, Tai Ming, Thomas G. Mahnken, and Andrew L. Ross, ‘Frameworks for Analyzing Chinese Defense and Military Innovation’, in Tai Ming Cheung (ed.) Forging China’s Military Might: A New Framework for Assessing Innovation (Baltimore: Johns Hopkins University Press 2014), 15–46. | Chin, Warren, ‘Technology, War and the State: Past, Present and Future’, International Affairs 95/4 (2019), 765–83. doi:10.1093/ia/iiz106 | Eilam, Uzi, Keshet Eilam: hatechnologia hamitkademet [Eilam’s Arc: How Israel Became a Military Technology Powerhouse] (Tel Aviv Yedioth Ahronoth 2011). | Faglin, Gay, ‘Merutz hachidush: Technologiot mishariot vetzvaiyot beemtzaei lehima – nekudat haizun hamatima [The Innovation Race’: Commercial and Military Technologies in Military Systems – The Right Balance] (Haifa Chaikin Chair in Geostrategy 2018). | Fordham, Benjamin O., ‘A Very Sharp Sword: The Influence of Military Capabilities on American Decisions to Use Force’, Journal of Conflict Resolution 48/5 (2004), 632–56. doi:10.1177/0022002704267935 | Freilich, Charles D., Israeli National Security: A New Strategy for an Era of Change (New York Oxford University Press 2018). | Freilich, Charles D., Zion’s Dilemmas: How Israel Makes National Security Policy (Ithaca Cornell University Press 2012). | George, Alexander L., Forceful Persuasion: Coercive Diplomacy as an Alternative to War (Washington, D.C. United States Institute of Peace 1992). | Halevy, Hertzi A., Y. (full names unavailable), ‘Elionut modi’init beidan technologi [Intelligence Superiority in a Digital Era]’, Ma’arachot 477 (April 2018), 26–31. | Hershko, Tzila, ‘‘Haroman mithadesh?’ [Is the Love Affair Starting Over?]’, Ma’arachot 456 (2014), 34–37. | Holley, I. B., Technology and Military Doctrine: Essays on a Challenging Relationship (Maxwell Air University Press 2004). | Honig, Benson, Miri Lerner, and Yoel Raban, ‘Social Capital and the Linkages of High-Tech Companies to the Military Defense System: Is There a Signalling Mechanism?’, Small Business Economics 27/4–5 (2006), 419–37. doi:10.1007/s11187-005-5644-y | Jones, Clive and Yoel Guzansky, ‘Israel’s Relations with the Gulf States: Toward the Emergence of a Tacit Security Regime?’, Contemporary Security Policy 38/3 (2017), 398–419. doi:10.1080/13523260.2017.1292375 | Katz, Yaakov and Amir Bohbot, The Weapon Wizards: How Israel Became a High-Tech Military Superpower (New York: St. Martin’s Press 2017). | Krepinevich, Andrew, ‘Cavalry to Computer: The Pattern of Military Revolutions’, The National Interest 37 (1994), 30–42. | Lehman, Ronald F., ‘Future Technology and Strategic Stability’, in Elbridge A. Colby and Michael S. Gerson (eds.) Strategic Stability: Contending Interpretations (Carlisle: U.S. Army War College Press 2013), 147–99. | Levite, Ariel, Offense and Defense in Israeli Military Doctrine (New York Routledge 2019). | Levy, Yagil, ‘Social Convertibility and Militarism: Evaluations of the Development of Military-Society Relations in Israel in the Early 2000s’, Journal of Political and Military Sociology 31/1 (2003), 71–96. | Marcus, Raphael D., Israel’s Long War with Hezbollah: Military Innovation and Adaptation under Fire (Washington, D.C. Georgetown University Press 2018). | Nah, Liang Tuang, The Fourth Industrial Revolution’s Impact on Smaller Militaries: Boon or Bane? RSIS Working Paper no. 318 (Singapore: S. Rajaratnam School of International Studies 2018). | Nien, Clement Wee, Yong Tay Cheng Chuan, and Ho Jin Peng, ‘At the Leading Edge: The RSAF and the Fourth Industrial Revolution’, Pointer: Journal of the Singapore Armed Forces 44/2 (2018), 1–11. | Posen, Barry R., The Sources of Military Doctrine: France, Britain, and Germany between the World Wars (Ithaca Cornell University Press 1984). | Rabinovich, Itamar and Itai Brun, Israel Facing a New Middle East: In Search of National Security Strategy (Stanford Hoover Institution Press 2017). | Raska, Michael, ‘Strategic Competition for Emerging Military Technologies: Comparative Paths and Patterns’, Prism 8/3 (2019), 64–81. | Sandler, Ronald L. (ed.), Ethics and Emerging Technologies (New York: Palgrave Macmillan 2014) | Schelling, Thomas C., Arms and Influence (New Heaven Yale University Press 2008). | Schulzke, Marcus, ‘Drone Proliferation and the Challenge of Regulating Dual-Use Technologies’, International Studies Review 21/3 (2019), 497–517. doi:10.1093/isr/viy047 | Schwab, Klaus, The Fourth Industrial Revolution (New York Crown Business 2017). | Sechser, Todd S., Neil Narang, and Caitlin Talmadge, ‘Emerging Technologies and Strategic Stability in Peacetime, Crisis, and War’, Journal of Strategic Studies 42/6 (2019), 727–35. doi:10.1080/01402390.2019.1626725 | Sevini, Filippo et al., ‘Emerging Dual-Use Technologies and Global Supply Chain Compliance’, IAEA Symposium on International Safeguards, Vienna, 2018. | Swed, Ori and John S. Butler, ‘Military Capital in the Israeli Hi-tech Industry’, Armed Forces &amp; Society 41/1 (2015), 123–41. doi:10.1177/0095327X13499562 | Tal, Israel, Bitachon leumi: meatim mul rabim [National Security: The Few against the Many] (Tel Aviv Dvir 1996). | Volpe, Tristan A., ‘Dual-use Distinguishability: How 3D-printing Shapes the Security Dilemma for Nuclear Programs’, Journal of Strategic Studies 42/6 (2019), 814–40. doi:10.1080/01402390.2019.1627210 | </v>
      </c>
    </row>
    <row r="41" customFormat="false" ht="147" hidden="false" customHeight="false" outlineLevel="0" collapsed="false">
      <c r="A41" s="4" t="s">
        <v>238</v>
      </c>
      <c r="B41" s="3" t="s">
        <v>239</v>
      </c>
      <c r="C41" s="5" t="str">
        <f aca="false">B41&amp;"| "</f>
        <v>Watts, Barry D., The Military Use of Space: A Diagnostic Assessment (Washington, DC Center for Strategic and Budgetary Assessments 2001). | </v>
      </c>
      <c r="D41" s="5" t="str">
        <f aca="false">D40&amp;C41</f>
        <v>Adamsky, Dmitry, The Culture of Military Innovation: The Impact of Cultural Factors on the Revolution in Military Affairs in Russia, the US, and Israel (Stanford Stanford University Press 2010). | Blake, Duncan, ‘Military Strategic Use of Outer Space’, in H. Nasu and R. McLaughlin (eds.) New Technologies and the Law of Armed Conflict (Hague: T.M.C. Asser Press 2014), 97–114. | Breznitz, Dan, ‘The Military as a Public Space: The Role of the IDF in the Israeli Software Innovation System’, MIT Working Paper IPC-02-004 (April 2002). | Brzoska, Michael, ‘Trends in Global Military and Civilian Research and Development (R&amp;D) and Their Changing Interface’, Proceedings of the International Seminar on Defence Finance and Economics 19 (2006). | Buzan, Barry and Eric Herring, The Arms Dynamic in World Politics (Boulder Lynne Rienner 1998). | Caspi-Shabbat, Tali and Or Glik, ‘Mahapechat hameida baolam hamivtsai harav-zroi betzahal [The Information Revolution in the IDF’s Multi-arm Operational World]’, Bein Haktavim 18 (2018), 38–47. | Cheung, Tai Ming, Thomas G. Mahnken, and Andrew L. Ross, ‘Frameworks for Analyzing Chinese Defense and Military Innovation’, in Tai Ming Cheung (ed.) Forging China’s Military Might: A New Framework for Assessing Innovation (Baltimore: Johns Hopkins University Press 2014), 15–46. | Chin, Warren, ‘Technology, War and the State: Past, Present and Future’, International Affairs 95/4 (2019), 765–83. doi:10.1093/ia/iiz106 | Eilam, Uzi, Keshet Eilam: hatechnologia hamitkademet [Eilam’s Arc: How Israel Became a Military Technology Powerhouse] (Tel Aviv Yedioth Ahronoth 2011). | Faglin, Gay, ‘Merutz hachidush: Technologiot mishariot vetzvaiyot beemtzaei lehima – nekudat haizun hamatima [The Innovation Race’: Commercial and Military Technologies in Military Systems – The Right Balance] (Haifa Chaikin Chair in Geostrategy 2018). | Fordham, Benjamin O., ‘A Very Sharp Sword: The Influence of Military Capabilities on American Decisions to Use Force’, Journal of Conflict Resolution 48/5 (2004), 632–56. doi:10.1177/0022002704267935 | Freilich, Charles D., Israeli National Security: A New Strategy for an Era of Change (New York Oxford University Press 2018). | Freilich, Charles D., Zion’s Dilemmas: How Israel Makes National Security Policy (Ithaca Cornell University Press 2012). | George, Alexander L., Forceful Persuasion: Coercive Diplomacy as an Alternative to War (Washington, D.C. United States Institute of Peace 1992). | Halevy, Hertzi A., Y. (full names unavailable), ‘Elionut modi’init beidan technologi [Intelligence Superiority in a Digital Era]’, Ma’arachot 477 (April 2018), 26–31. | Hershko, Tzila, ‘‘Haroman mithadesh?’ [Is the Love Affair Starting Over?]’, Ma’arachot 456 (2014), 34–37. | Holley, I. B., Technology and Military Doctrine: Essays on a Challenging Relationship (Maxwell Air University Press 2004). | Honig, Benson, Miri Lerner, and Yoel Raban, ‘Social Capital and the Linkages of High-Tech Companies to the Military Defense System: Is There a Signalling Mechanism?’, Small Business Economics 27/4–5 (2006), 419–37. doi:10.1007/s11187-005-5644-y | Jones, Clive and Yoel Guzansky, ‘Israel’s Relations with the Gulf States: Toward the Emergence of a Tacit Security Regime?’, Contemporary Security Policy 38/3 (2017), 398–419. doi:10.1080/13523260.2017.1292375 | Katz, Yaakov and Amir Bohbot, The Weapon Wizards: How Israel Became a High-Tech Military Superpower (New York: St. Martin’s Press 2017). | Krepinevich, Andrew, ‘Cavalry to Computer: The Pattern of Military Revolutions’, The National Interest 37 (1994), 30–42. | Lehman, Ronald F., ‘Future Technology and Strategic Stability’, in Elbridge A. Colby and Michael S. Gerson (eds.) Strategic Stability: Contending Interpretations (Carlisle: U.S. Army War College Press 2013), 147–99. | Levite, Ariel, Offense and Defense in Israeli Military Doctrine (New York Routledge 2019). | Levy, Yagil, ‘Social Convertibility and Militarism: Evaluations of the Development of Military-Society Relations in Israel in the Early 2000s’, Journal of Political and Military Sociology 31/1 (2003), 71–96. | Marcus, Raphael D., Israel’s Long War with Hezbollah: Military Innovation and Adaptation under Fire (Washington, D.C. Georgetown University Press 2018). | Nah, Liang Tuang, The Fourth Industrial Revolution’s Impact on Smaller Militaries: Boon or Bane? RSIS Working Paper no. 318 (Singapore: S. Rajaratnam School of International Studies 2018). | Nien, Clement Wee, Yong Tay Cheng Chuan, and Ho Jin Peng, ‘At the Leading Edge: The RSAF and the Fourth Industrial Revolution’, Pointer: Journal of the Singapore Armed Forces 44/2 (2018), 1–11. | Posen, Barry R., The Sources of Military Doctrine: France, Britain, and Germany between the World Wars (Ithaca Cornell University Press 1984). | Rabinovich, Itamar and Itai Brun, Israel Facing a New Middle East: In Search of National Security Strategy (Stanford Hoover Institution Press 2017). | Raska, Michael, ‘Strategic Competition for Emerging Military Technologies: Comparative Paths and Patterns’, Prism 8/3 (2019), 64–81. | Sandler, Ronald L. (ed.), Ethics and Emerging Technologies (New York: Palgrave Macmillan 2014) | Schelling, Thomas C., Arms and Influence (New Heaven Yale University Press 2008). | Schulzke, Marcus, ‘Drone Proliferation and the Challenge of Regulating Dual-Use Technologies’, International Studies Review 21/3 (2019), 497–517. doi:10.1093/isr/viy047 | Schwab, Klaus, The Fourth Industrial Revolution (New York Crown Business 2017). | Sechser, Todd S., Neil Narang, and Caitlin Talmadge, ‘Emerging Technologies and Strategic Stability in Peacetime, Crisis, and War’, Journal of Strategic Studies 42/6 (2019), 727–35. doi:10.1080/01402390.2019.1626725 | Sevini, Filippo et al., ‘Emerging Dual-Use Technologies and Global Supply Chain Compliance’, IAEA Symposium on International Safeguards, Vienna, 2018. | Swed, Ori and John S. Butler, ‘Military Capital in the Israeli Hi-tech Industry’, Armed Forces &amp; Society 41/1 (2015), 123–41. doi:10.1177/0095327X13499562 | Tal, Israel, Bitachon leumi: meatim mul rabim [National Security: The Few against the Many] (Tel Aviv Dvir 1996). | Volpe, Tristan A., ‘Dual-use Distinguishability: How 3D-printing Shapes the Security Dilemma for Nuclear Programs’, Journal of Strategic Studies 42/6 (2019), 814–40. doi:10.1080/01402390.2019.1627210 | Watts, Barry D., The Military Use of Space: A Diagnostic Assessment (Washington, DC Center for Strategic and Budgetary Assessments 2001). | </v>
      </c>
    </row>
    <row r="42" customFormat="false" ht="113.4" hidden="false" customHeight="false" outlineLevel="0" collapsed="false">
      <c r="A42" s="4" t="s">
        <v>240</v>
      </c>
      <c r="B42" s="3" t="s">
        <v>240</v>
      </c>
      <c r="C42" s="5" t="str">
        <f aca="false">B42&amp;"| "</f>
        <v>Yaakov, Itzhak, Adon klum baribua [The Memoires of Mr. Zero Squared] (Tel Aviv Yedioth Ahronoth 2011). | </v>
      </c>
      <c r="D42" s="5" t="str">
        <f aca="false">D41&amp;C42</f>
        <v>Adamsky, Dmitry, The Culture of Military Innovation: The Impact of Cultural Factors on the Revolution in Military Affairs in Russia, the US, and Israel (Stanford Stanford University Press 2010). | Blake, Duncan, ‘Military Strategic Use of Outer Space’, in H. Nasu and R. McLaughlin (eds.) New Technologies and the Law of Armed Conflict (Hague: T.M.C. Asser Press 2014), 97–114. | Breznitz, Dan, ‘The Military as a Public Space: The Role of the IDF in the Israeli Software Innovation System’, MIT Working Paper IPC-02-004 (April 2002). | Brzoska, Michael, ‘Trends in Global Military and Civilian Research and Development (R&amp;D) and Their Changing Interface’, Proceedings of the International Seminar on Defence Finance and Economics 19 (2006). | Buzan, Barry and Eric Herring, The Arms Dynamic in World Politics (Boulder Lynne Rienner 1998). | Caspi-Shabbat, Tali and Or Glik, ‘Mahapechat hameida baolam hamivtsai harav-zroi betzahal [The Information Revolution in the IDF’s Multi-arm Operational World]’, Bein Haktavim 18 (2018), 38–47. | Cheung, Tai Ming, Thomas G. Mahnken, and Andrew L. Ross, ‘Frameworks for Analyzing Chinese Defense and Military Innovation’, in Tai Ming Cheung (ed.) Forging China’s Military Might: A New Framework for Assessing Innovation (Baltimore: Johns Hopkins University Press 2014), 15–46. | Chin, Warren, ‘Technology, War and the State: Past, Present and Future’, International Affairs 95/4 (2019), 765–83. doi:10.1093/ia/iiz106 | Eilam, Uzi, Keshet Eilam: hatechnologia hamitkademet [Eilam’s Arc: How Israel Became a Military Technology Powerhouse] (Tel Aviv Yedioth Ahronoth 2011). | Faglin, Gay, ‘Merutz hachidush: Technologiot mishariot vetzvaiyot beemtzaei lehima – nekudat haizun hamatima [The Innovation Race’: Commercial and Military Technologies in Military Systems – The Right Balance] (Haifa Chaikin Chair in Geostrategy 2018). | Fordham, Benjamin O., ‘A Very Sharp Sword: The Influence of Military Capabilities on American Decisions to Use Force’, Journal of Conflict Resolution 48/5 (2004), 632–56. doi:10.1177/0022002704267935 | Freilich, Charles D., Israeli National Security: A New Strategy for an Era of Change (New York Oxford University Press 2018). | Freilich, Charles D., Zion’s Dilemmas: How Israel Makes National Security Policy (Ithaca Cornell University Press 2012). | George, Alexander L., Forceful Persuasion: Coercive Diplomacy as an Alternative to War (Washington, D.C. United States Institute of Peace 1992). | Halevy, Hertzi A., Y. (full names unavailable), ‘Elionut modi’init beidan technologi [Intelligence Superiority in a Digital Era]’, Ma’arachot 477 (April 2018), 26–31. | Hershko, Tzila, ‘‘Haroman mithadesh?’ [Is the Love Affair Starting Over?]’, Ma’arachot 456 (2014), 34–37. | Holley, I. B., Technology and Military Doctrine: Essays on a Challenging Relationship (Maxwell Air University Press 2004). | Honig, Benson, Miri Lerner, and Yoel Raban, ‘Social Capital and the Linkages of High-Tech Companies to the Military Defense System: Is There a Signalling Mechanism?’, Small Business Economics 27/4–5 (2006), 419–37. doi:10.1007/s11187-005-5644-y | Jones, Clive and Yoel Guzansky, ‘Israel’s Relations with the Gulf States: Toward the Emergence of a Tacit Security Regime?’, Contemporary Security Policy 38/3 (2017), 398–419. doi:10.1080/13523260.2017.1292375 | Katz, Yaakov and Amir Bohbot, The Weapon Wizards: How Israel Became a High-Tech Military Superpower (New York: St. Martin’s Press 2017). | Krepinevich, Andrew, ‘Cavalry to Computer: The Pattern of Military Revolutions’, The National Interest 37 (1994), 30–42. | Lehman, Ronald F., ‘Future Technology and Strategic Stability’, in Elbridge A. Colby and Michael S. Gerson (eds.) Strategic Stability: Contending Interpretations (Carlisle: U.S. Army War College Press 2013), 147–99. | Levite, Ariel, Offense and Defense in Israeli Military Doctrine (New York Routledge 2019). | Levy, Yagil, ‘Social Convertibility and Militarism: Evaluations of the Development of Military-Society Relations in Israel in the Early 2000s’, Journal of Political and Military Sociology 31/1 (2003), 71–96. | Marcus, Raphael D., Israel’s Long War with Hezbollah: Military Innovation and Adaptation under Fire (Washington, D.C. Georgetown University Press 2018). | Nah, Liang Tuang, The Fourth Industrial Revolution’s Impact on Smaller Militaries: Boon or Bane? RSIS Working Paper no. 318 (Singapore: S. Rajaratnam School of International Studies 2018). | Nien, Clement Wee, Yong Tay Cheng Chuan, and Ho Jin Peng, ‘At the Leading Edge: The RSAF and the Fourth Industrial Revolution’, Pointer: Journal of the Singapore Armed Forces 44/2 (2018), 1–11. | Posen, Barry R., The Sources of Military Doctrine: France, Britain, and Germany between the World Wars (Ithaca Cornell University Press 1984). | Rabinovich, Itamar and Itai Brun, Israel Facing a New Middle East: In Search of National Security Strategy (Stanford Hoover Institution Press 2017). | Raska, Michael, ‘Strategic Competition for Emerging Military Technologies: Comparative Paths and Patterns’, Prism 8/3 (2019), 64–81. | Sandler, Ronald L. (ed.), Ethics and Emerging Technologies (New York: Palgrave Macmillan 2014) | Schelling, Thomas C., Arms and Influence (New Heaven Yale University Press 2008). | Schulzke, Marcus, ‘Drone Proliferation and the Challenge of Regulating Dual-Use Technologies’, International Studies Review 21/3 (2019), 497–517. doi:10.1093/isr/viy047 | Schwab, Klaus, The Fourth Industrial Revolution (New York Crown Business 2017). | Sechser, Todd S., Neil Narang, and Caitlin Talmadge, ‘Emerging Technologies and Strategic Stability in Peacetime, Crisis, and War’, Journal of Strategic Studies 42/6 (2019), 727–35. doi:10.1080/01402390.2019.1626725 | Sevini, Filippo et al., ‘Emerging Dual-Use Technologies and Global Supply Chain Compliance’, IAEA Symposium on International Safeguards, Vienna, 2018. | Swed, Ori and John S. Butler, ‘Military Capital in the Israeli Hi-tech Industry’, Armed Forces &amp; Society 41/1 (2015), 123–41. doi:10.1177/0095327X13499562 | Tal, Israel, Bitachon leumi: meatim mul rabim [National Security: The Few against the Many] (Tel Aviv Dvir 1996). | Volpe, Tristan A., ‘Dual-use Distinguishability: How 3D-printing Shapes the Security Dilemma for Nuclear Programs’, Journal of Strategic Studies 42/6 (2019), 814–40. doi:10.1080/01402390.2019.1627210 | Watts, Barry D., The Military Use of Space: A Diagnostic Assessment (Washington, DC Center for Strategic and Budgetary Assessments 2001). | Yaakov, Itzhak, Adon klum baribua [The Memoires of Mr. Zero Squared] (Tel Aviv Yedioth Ahronoth 2011). | </v>
      </c>
    </row>
  </sheetData>
  <hyperlinks>
    <hyperlink ref="A4" r:id="rId1" display="(Open in a new window)Google Scholar"/>
    <hyperlink ref="A5" r:id="rId2" display="(Open in a new window)Google Scholar"/>
    <hyperlink ref="A7" r:id="rId3" display="(Open in a new window)Google Scholar"/>
    <hyperlink ref="A10" r:id="rId4" display="(Open in a new window)Google Scholar"/>
    <hyperlink ref="A11" r:id="rId5" display="(Open in a new window)Google Scholar"/>
    <hyperlink ref="A13" r:id="rId6" display="(Open in a new window)Google Scholar"/>
    <hyperlink ref="A15" r:id="rId7" display="(Open in a new window)Google Scholar"/>
    <hyperlink ref="A16" r:id="rId8" display="(Open in a new window)Google Scholar"/>
    <hyperlink ref="A17" r:id="rId9" display="(Open in a new window)Google Scholar"/>
    <hyperlink ref="A21" r:id="rId10" display="(Open in a new window)Google Scholar"/>
    <hyperlink ref="A22" r:id="rId11" display="(Open in a new window)Google Scholar"/>
    <hyperlink ref="A23" r:id="rId12" display="(Open in a new window)Google Scholar"/>
    <hyperlink ref="A25" r:id="rId13" display="(Open in a new window)Google Scholar"/>
    <hyperlink ref="A27" r:id="rId14" display="(Open in a new window)Google Scholar"/>
    <hyperlink ref="A28" r:id="rId15" display="(Open in a new window)Google Scholar"/>
    <hyperlink ref="A29" r:id="rId16" display="(Open in a new window)Google Scholar"/>
    <hyperlink ref="A30" r:id="rId17" display="(Open in a new window)Google Scholar"/>
    <hyperlink ref="A31" r:id="rId18" display="(Open in a new window)Google Scholar"/>
    <hyperlink ref="A33" r:id="rId19" display="(Open in a new window)Google Scholar"/>
    <hyperlink ref="A35" r:id="rId20" display="(Open in a new window)Google Scholar"/>
    <hyperlink ref="A37" r:id="rId21" display="(Open in a new window)Google Scholar"/>
    <hyperlink ref="A39" r:id="rId22" display="(Open in a new window)Google Scholar"/>
    <hyperlink ref="A41" r:id="rId23" display="(Open in a new window)Google Scholar"/>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Roman,Regular"&amp;12Página &amp;P</oddFooter>
  </headerFooter>
</worksheet>
</file>

<file path=docProps/app.xml><?xml version="1.0" encoding="utf-8"?>
<Properties xmlns="http://schemas.openxmlformats.org/officeDocument/2006/extended-properties" xmlns:vt="http://schemas.openxmlformats.org/officeDocument/2006/docPropsVTypes">
  <Template/>
  <TotalTime>44</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2026-03-10T12:08:20Z</dcterms:created>
  <dc:creator/>
  <dc:description/>
  <dc:language>pt-BR</dc:language>
  <cp:lastModifiedBy/>
  <dcterms:modified xsi:type="dcterms:W3CDTF">2026-03-10T12:52:49Z</dcterms:modified>
  <cp:revision>7</cp:revision>
  <dc:subject/>
  <dc:title/>
</cp:coreProperties>
</file>