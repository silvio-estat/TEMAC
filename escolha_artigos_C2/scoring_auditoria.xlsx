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os_33" sheetId="1" state="visible" r:id="rId3"/>
    <sheet name="Scoring_Detalhe" sheetId="2" state="visible" r:id="rId4"/>
    <sheet name="Metodologia" sheetId="3" state="visible" r:id="rId5"/>
    <sheet name="Sheet4" sheetId="4" state="visible" r:id="rId6"/>
  </sheets>
  <definedNames>
    <definedName function="false" hidden="true" localSheetId="0" name="_xlnm._FilterDatabase" vbProcedure="false">Candidatos_33!$A$1:$P$1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<sst xmlns="http://schemas.openxmlformats.org/spreadsheetml/2006/main" count="521" uniqueCount="256">
  <si>
    <t xml:space="preserve">Rank</t>
  </si>
  <si>
    <t xml:space="preserve">Seleção</t>
  </si>
  <si>
    <t xml:space="preserve">ID Físico</t>
  </si>
  <si>
    <t xml:space="preserve">corri</t>
  </si>
  <si>
    <t xml:space="preserve">resumo_CD</t>
  </si>
  <si>
    <t xml:space="preserve">justific</t>
  </si>
  <si>
    <t xml:space="preserve">Ano</t>
  </si>
  <si>
    <t xml:space="preserve">Autores</t>
  </si>
  <si>
    <t xml:space="preserve">Título</t>
  </si>
  <si>
    <t xml:space="preserve">Score Comp.</t>
  </si>
  <si>
    <t xml:space="preserve">A – Arq.</t>
  </si>
  <si>
    <t xml:space="preserve">B – Integ.</t>
  </si>
  <si>
    <t xml:space="preserve">D – ML/IA</t>
  </si>
  <si>
    <t xml:space="preserve">E – Gov.</t>
  </si>
  <si>
    <t xml:space="preserve">Bônus A+B</t>
  </si>
  <si>
    <t xml:space="preserve">Conferência</t>
  </si>
  <si>
    <t xml:space="preserve">Automático</t>
  </si>
  <si>
    <t xml:space="preserve">28th_ICCRTS_paper_60</t>
  </si>
  <si>
    <t xml:space="preserve">ok</t>
  </si>
  <si>
    <t xml:space="preserve">2023</t>
  </si>
  <si>
    <t xml:space="preserve">Erik Bjurström; Martin Schüler; Anette Strömberg; Git Roxström</t>
  </si>
  <si>
    <t xml:space="preserve">Data quality and analysts’ role in AI enhanced C2</t>
  </si>
  <si>
    <t xml:space="preserve">28th International Command and Control Research &amp; Technology Symposium</t>
  </si>
  <si>
    <t xml:space="preserve">24th_ICCRTS_paper_11</t>
  </si>
  <si>
    <t xml:space="preserve">2019</t>
  </si>
  <si>
    <t xml:space="preserve">S.V. Ball; M.C. van't Wout; R. Oosthuizen</t>
  </si>
  <si>
    <t xml:space="preserve">A Framework for Implementing a Data Science Capability in a Military Intelligence System</t>
  </si>
  <si>
    <t xml:space="preserve">24th International Command and Control Research &amp; Technology Symposium</t>
  </si>
  <si>
    <t xml:space="preserve">29th_ICCRTS_paper_38</t>
  </si>
  <si>
    <t xml:space="preserve">2024</t>
  </si>
  <si>
    <t xml:space="preserve">Steven W. Mitchell; Tod Schuck</t>
  </si>
  <si>
    <t xml:space="preserve">An Open Architecture for Data Fusion</t>
  </si>
  <si>
    <t xml:space="preserve">29th International Command and Control Research &amp; Technology Symposium</t>
  </si>
  <si>
    <t xml:space="preserve">28th_ICCRTS_paper_26</t>
  </si>
  <si>
    <t xml:space="preserve">OK</t>
  </si>
  <si>
    <t xml:space="preserve">tem que colocar porque aborda diferentes arquiteturas</t>
  </si>
  <si>
    <t xml:space="preserve">Rune Langleite; Emil P. Andersen; Anette F. Opland; Frank T. Johnsen</t>
  </si>
  <si>
    <t xml:space="preserve">Autonomous information processing at the tactical level</t>
  </si>
  <si>
    <t xml:space="preserve">25th_ICCRTS_paper_24</t>
  </si>
  <si>
    <t xml:space="preserve">2020</t>
  </si>
  <si>
    <t xml:space="preserve">Alexandre Bergeron-Guyard</t>
  </si>
  <si>
    <t xml:space="preserve">Enabling Data Driven Multi-Int Analysis: Implications and Exploitation</t>
  </si>
  <si>
    <t xml:space="preserve">25th International Command and Control Research &amp; Technology Symposium</t>
  </si>
  <si>
    <t xml:space="preserve">22th_ICCRTS_paper_113</t>
  </si>
  <si>
    <t xml:space="preserve">mostra as tecnologias que podem ser utilizadas</t>
  </si>
  <si>
    <t xml:space="preserve">2017</t>
  </si>
  <si>
    <t xml:space="preserve">Dean Lee; Glenn Tolentino; Charles Yetman; Rick Cruz</t>
  </si>
  <si>
    <t xml:space="preserve">Big Data Decision Support in Command and Control Systems</t>
  </si>
  <si>
    <t xml:space="preserve">22nd International Command and Control Research &amp; Technology Symposium</t>
  </si>
  <si>
    <t xml:space="preserve">25th_ICCRTS_paper_25</t>
  </si>
  <si>
    <t xml:space="preserve">Jack Verhoosel; Barry Nouwt; Jeroen Voogd</t>
  </si>
  <si>
    <t xml:space="preserve">Data-driven, Service-oriented, Knowledge-based Command and Control</t>
  </si>
  <si>
    <t xml:space="preserve">30th_ICCRTS_paper_12</t>
  </si>
  <si>
    <t xml:space="preserve">2025</t>
  </si>
  <si>
    <t xml:space="preserve">Anette F. Opland; Emil P. Andersen; Lars Landmark; Frank T. Johnsen</t>
  </si>
  <si>
    <t xml:space="preserve">Towards Whole-stack Optimization: Leveraging Edge Computing for Next-Generation Tactical Systems</t>
  </si>
  <si>
    <t xml:space="preserve">30th International Command and Control Research &amp; Technology Symposium</t>
  </si>
  <si>
    <t xml:space="preserve">22th_ICCRTS_paper_72</t>
  </si>
  <si>
    <t xml:space="preserve">tem que colocar pois discute a parte semantica que é muito importante</t>
  </si>
  <si>
    <t xml:space="preserve">Wen Zhou; Weidong Bao; Xiaomin Zhu; Chao Chen; Zhu Wu; Changfei Wu</t>
  </si>
  <si>
    <t xml:space="preserve">A Semantic-Based Information Integration Framework of Agile Command and Control</t>
  </si>
  <si>
    <t xml:space="preserve">27th_ICCRTS_paper_25</t>
  </si>
  <si>
    <t xml:space="preserve">2022</t>
  </si>
  <si>
    <t xml:space="preserve">Scott Fang; Shadi Ghajar-Khosravi; Geoffrey Ho; Vladimir Zotov; Robert Collins; Ming Hou</t>
  </si>
  <si>
    <t xml:space="preserve">A Human Factors Perspective on Information Fusion, Data Analytics and Decision Support for Command-and-Control Modernization Concepts</t>
  </si>
  <si>
    <t xml:space="preserve">27th International Command and Control Research &amp; Technology Symposium</t>
  </si>
  <si>
    <t xml:space="preserve">25th_ICCRTS_paper_120</t>
  </si>
  <si>
    <t xml:space="preserve">tem que colocar pois discute sobre data provenance</t>
  </si>
  <si>
    <t xml:space="preserve">Cheryl Putnam; Jeff Waters; James Chao; Barbara Rasmussen</t>
  </si>
  <si>
    <t xml:space="preserve">Enabling and Managing Data Provenance in a Command and Control Environment</t>
  </si>
  <si>
    <t xml:space="preserve">29th_ICCRTS_paper_21</t>
  </si>
  <si>
    <t xml:space="preserve">M. Peerdeman; F. Kollmann; R. El Abdouni Khayari; L. Aceti; S. Lockwood; A. Eikelboom; M. MacLean; L. Pigeon; T. van der</t>
  </si>
  <si>
    <t xml:space="preserve">Architectural concepts to support future C2 systems that enable Multi-Domain Operations</t>
  </si>
  <si>
    <t xml:space="preserve">24th_ICCRTS_paper_47</t>
  </si>
  <si>
    <t xml:space="preserve">Arild Bergh</t>
  </si>
  <si>
    <t xml:space="preserve">Modularising software for influence operation detection in social media</t>
  </si>
  <si>
    <t xml:space="preserve">27th_ICCRTS_paper_14</t>
  </si>
  <si>
    <t xml:space="preserve">Marco Manso; Janusz Furtak; Barbara Guerra; Frank T. Johnsen; James Michaelis; Daniel Ota; Nirajan Suri; Konrad Wrona</t>
  </si>
  <si>
    <t xml:space="preserve">Connecting the Battlespace: C2 and IoT Technical Interoperability in Tactical Federated Environments</t>
  </si>
  <si>
    <t xml:space="preserve">28th_ICCRTS_paper_65</t>
  </si>
  <si>
    <t xml:space="preserve">Marco Manso; Bárbara Guerra; Fernando Freire; Niranjan Suri; Roberto Fronteddu; Edoardo Di Caro; Reinhard Claus; Daniel </t>
  </si>
  <si>
    <t xml:space="preserve">Experimentation on C2 and IoT Technical Interoperability in a Tactical Federated Environment</t>
  </si>
  <si>
    <t xml:space="preserve">26th_ICCRTS_paper_53</t>
  </si>
  <si>
    <t xml:space="preserve">2021</t>
  </si>
  <si>
    <t xml:space="preserve">Mohamed Abdelazez; Ahmed Ghanmi</t>
  </si>
  <si>
    <t xml:space="preserve">Improving C2 and Decision Making Using the Joint Operations Fusion Lab</t>
  </si>
  <si>
    <t xml:space="preserve">26th International Command and Control Research &amp; Technology Symposium</t>
  </si>
  <si>
    <t xml:space="preserve">29th_ICCRTS_paper_19</t>
  </si>
  <si>
    <t xml:space="preserve">Nicolas Léchevin; Camille Alain Rabbath</t>
  </si>
  <si>
    <t xml:space="preserve">Vulnerability Analysis of a Subset of Decentralized Information Consolidation Mechanisms in C2</t>
  </si>
  <si>
    <t xml:space="preserve">22th_ICCRTS_paper_37</t>
  </si>
  <si>
    <t xml:space="preserve">Kevin Galvin; James Ruth</t>
  </si>
  <si>
    <t xml:space="preserve">Architecture Driven Scenarios in Support of C2-Simulation (C2SIM)</t>
  </si>
  <si>
    <t xml:space="preserve">23rd_ICCRTS_paper_7</t>
  </si>
  <si>
    <t xml:space="preserve">2018</t>
  </si>
  <si>
    <t xml:space="preserve">Reinout Pieneman; Casper van den Broek; Bas Gerrits; Jacomien de Jong; Marcel van Hekken</t>
  </si>
  <si>
    <t xml:space="preserve">The networked command environment: architecture and functional design</t>
  </si>
  <si>
    <t xml:space="preserve">23rd International Command and Control Research &amp; Technology Symposium</t>
  </si>
  <si>
    <t xml:space="preserve">24th_ICCRTS_paper_48</t>
  </si>
  <si>
    <t xml:space="preserve">Anderson Ferreira; Manoel Pedro Sá; Tomás de A. T. Botelho</t>
  </si>
  <si>
    <t xml:space="preserve">Command and Control Interoperability Middleware Architecture</t>
  </si>
  <si>
    <t xml:space="preserve">26th_ICCRTS_paper_18</t>
  </si>
  <si>
    <t xml:space="preserve">Abel Peters de Assunção Oliveira; Nina Machado Figueira</t>
  </si>
  <si>
    <t xml:space="preserve">A Proposed Hardware-Software Architecture for C5ISR System in the Amazon Operations</t>
  </si>
  <si>
    <t xml:space="preserve">26th_ICCRTS_paper_32</t>
  </si>
  <si>
    <t xml:space="preserve">Tomás de A. T. Botelho; Edmundo L. Cecílio; Anderson Ferreira de Oliveira</t>
  </si>
  <si>
    <t xml:space="preserve">A Distributed Architecture for Tactical Data Link Interoperability</t>
  </si>
  <si>
    <t xml:space="preserve">29th_ICCRTS_paper_60</t>
  </si>
  <si>
    <t xml:space="preserve">Dane Oshiro; Alan Shaffer; Gurminder Singh</t>
  </si>
  <si>
    <t xml:space="preserve">Mobile Ad Hoc Networks in a Zero Trust Architecture for the Tactical Edge</t>
  </si>
  <si>
    <t xml:space="preserve">Quick_Reference_List_2020_05</t>
  </si>
  <si>
    <t xml:space="preserve">erro</t>
  </si>
  <si>
    <t xml:space="preserve">Lt Col Frank Gubbels, LT Adrian Granillo</t>
  </si>
  <si>
    <t xml:space="preserve">Federated Mission Networking (FMN)</t>
  </si>
  <si>
    <t xml:space="preserve">Quick Reference List 2020</t>
  </si>
  <si>
    <t xml:space="preserve">C2COE_2017_02</t>
  </si>
  <si>
    <t xml:space="preserve">Mr. Charles W. Robinson, Knowledge Management Officer US Joint Staff J7</t>
  </si>
  <si>
    <t xml:space="preserve">Federated Mission Networking (FMN) and Mission Partner Environment (MPE) Civilian-Military Information Sharing Project (FMCM)</t>
  </si>
  <si>
    <t xml:space="preserve">NATO C2COE Seminar Review 2017</t>
  </si>
  <si>
    <t xml:space="preserve">25th_ICCRTS_paper_45</t>
  </si>
  <si>
    <t xml:space="preserve">J. Mark Pullen; Kevin Galvin; R. Adam Brook</t>
  </si>
  <si>
    <t xml:space="preserve">Simulation in NATO Federated Mission Networking</t>
  </si>
  <si>
    <t xml:space="preserve">25th_ICCRTS_paper_59</t>
  </si>
  <si>
    <t xml:space="preserve">Frank T. Johnsen; Marco Manso; Norman Jansen</t>
  </si>
  <si>
    <t xml:space="preserve">Evaluation of Message Broker approaches for Information Exchange in Disadvantaged Tactical Networks in a Federated Environment</t>
  </si>
  <si>
    <t xml:space="preserve">29th_ICCRTS_paper_27</t>
  </si>
  <si>
    <t xml:space="preserve">Bjorn Johansson; Jonas Herkevall; Alexander Kalloniatis; Magdalena Granasen</t>
  </si>
  <si>
    <t xml:space="preserve">Federated Mission Networking and Civil-Military Interoperability - striving for the correct level of design</t>
  </si>
  <si>
    <t xml:space="preserve">21th_ICCRTS_paper_32</t>
  </si>
  <si>
    <t xml:space="preserve">2016</t>
  </si>
  <si>
    <t xml:space="preserve">Paul H. Deitz; James R. Michaelis; Britt E. Bray; Michael A. Kolodny</t>
  </si>
  <si>
    <t xml:space="preserve">The Missions &amp; Means Framework (MMF) Ontology: Matching Military Assets to Mission Objectives</t>
  </si>
  <si>
    <t xml:space="preserve">21st International Command and Control Research &amp; Technology Symposium</t>
  </si>
  <si>
    <t xml:space="preserve">Manual</t>
  </si>
  <si>
    <t xml:space="preserve">23rd_ICCRTS_paper_30</t>
  </si>
  <si>
    <t xml:space="preserve">Johan Schubert; Joel Brynielsson; Mattias Nilsson; Peter Svenmarck</t>
  </si>
  <si>
    <t xml:space="preserve">Artificial Intelligence for Decision Support in Command and Control Systems</t>
  </si>
  <si>
    <t xml:space="preserve">28th_ICCRTS_paper_12</t>
  </si>
  <si>
    <t xml:space="preserve">Mohamed Abdelazez; Richard Garber; Ahmed Ghanmi</t>
  </si>
  <si>
    <t xml:space="preserve">Decision Support for Commanders: An AI Approach to Wargaming</t>
  </si>
  <si>
    <t xml:space="preserve">29th_ICCRTS_paper_43</t>
  </si>
  <si>
    <t xml:space="preserve">Andrew Firth; Jason Poole; Patrick Turner</t>
  </si>
  <si>
    <t xml:space="preserve">Opportunity Knocks: A Systems-Based Operational Level Planning Process © Aperture Strategy Ltd to Fully Embrace the Promise of Artificial Intelligence</t>
  </si>
  <si>
    <t xml:space="preserve">29th_ICCRTS_paper_50</t>
  </si>
  <si>
    <t xml:space="preserve">Patrick Turner; Andrew Leggatt; Holly Roberts; Richard Ellis; Simon Attfield; Amy Jones; Martin McMillan; Rachel Asquith</t>
  </si>
  <si>
    <t xml:space="preserve">A challenging case for Artificial Intelligence: evaluation of the benefits of AI-enabled socio-technical concept solutions for Operational-level planning</t>
  </si>
  <si>
    <t xml:space="preserve">Termos A_HIGH título</t>
  </si>
  <si>
    <t xml:space="preserve">Termos A_HIGH abs.</t>
  </si>
  <si>
    <t xml:space="preserve">Termos A_LOW título</t>
  </si>
  <si>
    <t xml:space="preserve">Termos A_LOW abs.</t>
  </si>
  <si>
    <t xml:space="preserve">Termos B_HIGH título</t>
  </si>
  <si>
    <t xml:space="preserve">Termos B_HIGH abs.</t>
  </si>
  <si>
    <t xml:space="preserve">Termos B_LOW título</t>
  </si>
  <si>
    <t xml:space="preserve">Termos B_LOW abs.</t>
  </si>
  <si>
    <t xml:space="preserve">Termos D título</t>
  </si>
  <si>
    <t xml:space="preserve">Termos D abs.</t>
  </si>
  <si>
    <t xml:space="preserve">Termos E título</t>
  </si>
  <si>
    <t xml:space="preserve">Termos E abs.</t>
  </si>
  <si>
    <t xml:space="preserve">28th_ICCRTS_42</t>
  </si>
  <si>
    <t xml:space="preserve">big data</t>
  </si>
  <si>
    <t xml:space="preserve">ai</t>
  </si>
  <si>
    <t xml:space="preserve">ai, artificial intelligence</t>
  </si>
  <si>
    <t xml:space="preserve">data quality</t>
  </si>
  <si>
    <t xml:space="preserve">24th_ICCRTS_03</t>
  </si>
  <si>
    <t xml:space="preserve">data science</t>
  </si>
  <si>
    <t xml:space="preserve">big data, data science</t>
  </si>
  <si>
    <t xml:space="preserve">29th_ICCRTS_22</t>
  </si>
  <si>
    <t xml:space="preserve">architecture</t>
  </si>
  <si>
    <t xml:space="preserve">data fusion</t>
  </si>
  <si>
    <t xml:space="preserve">sensor fusion</t>
  </si>
  <si>
    <t xml:space="preserve">28th_ICCRTS_12</t>
  </si>
  <si>
    <t xml:space="preserve">architectural, architecture</t>
  </si>
  <si>
    <t xml:space="preserve">autonomous</t>
  </si>
  <si>
    <t xml:space="preserve">artificial intelligence, autonomous</t>
  </si>
  <si>
    <t xml:space="preserve">25th_ICCRTS_28</t>
  </si>
  <si>
    <t xml:space="preserve">multi-int</t>
  </si>
  <si>
    <t xml:space="preserve">22nd_ICCRTS_06</t>
  </si>
  <si>
    <t xml:space="preserve">25th_ICCRTS_29</t>
  </si>
  <si>
    <t xml:space="preserve">service-oriented</t>
  </si>
  <si>
    <t xml:space="preserve">architecture, knowledge base, service-oriented</t>
  </si>
  <si>
    <t xml:space="preserve">heterogeneous</t>
  </si>
  <si>
    <t xml:space="preserve">ontology</t>
  </si>
  <si>
    <t xml:space="preserve">30th_ICCRTS_04</t>
  </si>
  <si>
    <t xml:space="preserve">data management</t>
  </si>
  <si>
    <t xml:space="preserve">ai, artificial intelligence, machine learning</t>
  </si>
  <si>
    <t xml:space="preserve">22nd_ICCRTS_41</t>
  </si>
  <si>
    <t xml:space="preserve">information system</t>
  </si>
  <si>
    <t xml:space="preserve">information integration</t>
  </si>
  <si>
    <t xml:space="preserve">27th_ICCRTS_14</t>
  </si>
  <si>
    <t xml:space="preserve">information fusion</t>
  </si>
  <si>
    <t xml:space="preserve">25th_ICCRTS_18</t>
  </si>
  <si>
    <t xml:space="preserve">data provenance</t>
  </si>
  <si>
    <t xml:space="preserve">29th_ICCRTS_09</t>
  </si>
  <si>
    <t xml:space="preserve">architectural</t>
  </si>
  <si>
    <t xml:space="preserve">24th_ICCRTS_29</t>
  </si>
  <si>
    <t xml:space="preserve">heterogeneous data</t>
  </si>
  <si>
    <t xml:space="preserve">27th_ICCRTS_05</t>
  </si>
  <si>
    <t xml:space="preserve">federated</t>
  </si>
  <si>
    <t xml:space="preserve">federated, heterogeneous</t>
  </si>
  <si>
    <t xml:space="preserve">28th_ICCRTS_45</t>
  </si>
  <si>
    <t xml:space="preserve">26th_ICCRTS_35</t>
  </si>
  <si>
    <t xml:space="preserve">artificial intelligence</t>
  </si>
  <si>
    <t xml:space="preserve">29th_ICCRTS_06</t>
  </si>
  <si>
    <t xml:space="preserve">22nd_ICCRTS_24</t>
  </si>
  <si>
    <t xml:space="preserve">23rd_ICCRTS_36</t>
  </si>
  <si>
    <t xml:space="preserve">24th_ICCRTS_30</t>
  </si>
  <si>
    <t xml:space="preserve">26th_ICCRTS_08</t>
  </si>
  <si>
    <t xml:space="preserve">26th_ICCRTS_20</t>
  </si>
  <si>
    <t xml:space="preserve">29th_ICCRTS_39</t>
  </si>
  <si>
    <t xml:space="preserve">25th_ICCRTS_42</t>
  </si>
  <si>
    <t xml:space="preserve">25th_ICCRTS_48</t>
  </si>
  <si>
    <t xml:space="preserve">29th_ICCRTS_13</t>
  </si>
  <si>
    <t xml:space="preserve">21st_ICCRTS_11</t>
  </si>
  <si>
    <t xml:space="preserve">23rd_ICCRTS_16</t>
  </si>
  <si>
    <t xml:space="preserve">28th_ICCRTS_04</t>
  </si>
  <si>
    <t xml:space="preserve">29th_ICCRTS_27</t>
  </si>
  <si>
    <t xml:space="preserve">29th_ICCRTS_31</t>
  </si>
  <si>
    <t xml:space="preserve">PARÂMETROS GERAIS</t>
  </si>
  <si>
    <t xml:space="preserve">D_CAP</t>
  </si>
  <si>
    <t xml:space="preserve">6 pts — pontuação máxima da categoria D (ML/IA) por artigo.
Justificativa: sem o cap, artigos sobre AI genérica (realidade aumentada, UxVs, redes sociais) dominam o ranking por acumular muitas ocorrências de "AI" e "machine learning", mesmo sem tratar de arquitetura de dados. O valor 6 equivale a dois termos D no título — presença substantiva sem inflação por repetição.</t>
  </si>
  <si>
    <t xml:space="preserve">BÔNUS ARQUITETURAL</t>
  </si>
  <si>
    <t xml:space="preserve">+ 3 pts quando (A + B) ≥ 3.
Justificativa: artigos que combinam relevância arquitetural com outros critérios são os mais valiosos para a dissertação. O bônus eleva esses artigos sem introduzir novos termos. O threshold 3 corresponde ao peso mínimo que indica presença real do conceito (ex: um termo A_HIGH no abstract = 3 pts).</t>
  </si>
  <si>
    <t xml:space="preserve">REGRA DE CORTE AUTOMÁTICO</t>
  </si>
  <si>
    <t xml:space="preserve">Condição 1</t>
  </si>
  <si>
    <t xml:space="preserve">score_comp ≥ 7
Justificativa: abaixo de 7, os artigos atingem o score exclusivamente via D=6 (cap), sem contribuição de A, B ou E. Tratam de AI/ML genérica, fora do escopo da dissertação.</t>
  </si>
  <si>
    <t xml:space="preserve">Condição 2</t>
  </si>
  <si>
    <t xml:space="preserve">(A + B ≥ 3)  OU  (E ≥ 5)
Justificativa: score_comp ≥ 7 não é suficiente — artigos que atingem 7 via D=6 + 1 pt de A_LOW acidentalmente ainda são AI genérica. A condição adicional garante profundidade mínima verificável em dados (A+B ≥ 3) ou em governança (E ≥ 5).</t>
  </si>
  <si>
    <t xml:space="preserve">Resultado automático</t>
  </si>
  <si>
    <t xml:space="preserve">29 artigos</t>
  </si>
  <si>
    <t xml:space="preserve">ADIÇÕES MANUAIS</t>
  </si>
  <si>
    <t xml:space="preserve">4 artigos — elegibilidade por julgamento do pesquisador</t>
  </si>
  <si>
    <t xml:space="preserve">CATEGORIAS — TERMOS</t>
  </si>
  <si>
    <t xml:space="preserve">A_HIGH (peso 6/3)</t>
  </si>
  <si>
    <t xml:space="preserve">data lake, lakehouse, data warehouse, data architecture, data infrastructure, data platform, data repository, data store, big data, data pipeline, data management, information architecture, data science, ETL</t>
  </si>
  <si>
    <t xml:space="preserve">A_LOW  (peso 3/1)</t>
  </si>
  <si>
    <t xml:space="preserve">architecture, architectural, information system, knowledge base, service-oriented</t>
  </si>
  <si>
    <t xml:space="preserve">B_HIGH (peso 5/3)</t>
  </si>
  <si>
    <t xml:space="preserve">heterogeneous data, data fusion, data integration, information fusion, information integration, multi-source, multi-int, sensor fusion, data aggregation</t>
  </si>
  <si>
    <t xml:space="preserve">B_LOW  (peso 3/1)</t>
  </si>
  <si>
    <t xml:space="preserve">heterogeneous, federated, distributed sources</t>
  </si>
  <si>
    <t xml:space="preserve">D      (peso 3/2, cap=6)</t>
  </si>
  <si>
    <t xml:space="preserve">machine learning, artificial intelligence, deep learning, neural network, autonomous, reinforcement learning, natural language processing, large language model, LLM, AI</t>
  </si>
  <si>
    <t xml:space="preserve">E      (peso 5/2)</t>
  </si>
  <si>
    <t xml:space="preserve">data quality, data provenance, metadata, data governance, FAIR, VAULTIS, trustworthy, data reliability, ontology, data catalog</t>
  </si>
  <si>
    <t xml:space="preserve">C      (corte mínimo, não pontua)</t>
  </si>
  <si>
    <t xml:space="preserve">command and control, C2, decision support, situational awareness, operational planning, battle management, military, operational</t>
  </si>
  <si>
    <t xml:space="preserve">'Autonomous information processing at the tactical level'</t>
  </si>
  <si>
    <t xml:space="preserve">'Big Data Decision Support in Command and Control Systems'</t>
  </si>
  <si>
    <t xml:space="preserve">'Data-driven, Service-oriented, Knowledge-based Command and Control'</t>
  </si>
  <si>
    <t xml:space="preserve">'A Semantic-Based Information Integration Framework of Agile Command and Control'</t>
  </si>
  <si>
    <t xml:space="preserve">'Enabling and Managing Data Provenance in a Command and Control Environment'</t>
  </si>
  <si>
    <t xml:space="preserve">'Architectural concepts to support future C2 systems that enable Multi-Domain Operations'</t>
  </si>
  <si>
    <t xml:space="preserve">'Modularising software for influence operation detection in social media'</t>
  </si>
  <si>
    <t xml:space="preserve">'A Proposed Hardware-Software Architecture for C5ISR System in the Amazon Operations'</t>
  </si>
  <si>
    <t xml:space="preserve">'The Missions &amp; Means Framework (MMF) Ontology: Matching Military Assets to Mission Objectives'</t>
  </si>
  <si>
    <t xml:space="preserve">'Artificial Intelligence for Decision Support in Command and Control Systems'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</si>
</sst>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6EFCE"/>
        <bgColor rgb="FFD9E1F2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2E4057"/>
      </patternFill>
    </fill>
    <fill>
      <patternFill patternType="solid">
        <fgColor rgb="FFFFEB9C"/>
        <bgColor rgb="FFFFFFCC"/>
      </patternFill>
    </fill>
    <fill>
      <patternFill patternType="solid">
        <fgColor rgb="FFFFCCCC"/>
        <bgColor rgb="FFCCCCCC"/>
      </patternFill>
    </fill>
    <fill>
      <patternFill patternType="solid">
        <fgColor rgb="FFD9E1F2"/>
        <bgColor rgb="FFC6EFCE"/>
      </patternFill>
    </fill>
    <fill>
      <patternFill patternType="solid">
        <fgColor rgb="FF2E405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H6" activeCellId="0" sqref="H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7" min="4" style="1" width="6"/>
    <col collapsed="false" customWidth="true" hidden="false" outlineLevel="0" max="8" min="8" style="1" width="32"/>
    <col collapsed="false" customWidth="true" hidden="false" outlineLevel="0" max="9" min="9" style="1" width="62"/>
    <col collapsed="false" customWidth="true" hidden="false" outlineLevel="0" max="10" min="10" style="1" width="10"/>
    <col collapsed="false" customWidth="true" hidden="false" outlineLevel="0" max="15" min="11" style="1" width="9"/>
    <col collapsed="false" customWidth="true" hidden="false" outlineLevel="0" max="16" min="16" style="1" width="36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46.25" hidden="false" customHeight="false" outlineLevel="0" collapsed="false">
      <c r="A2" s="3" t="n">
        <v>1</v>
      </c>
      <c r="B2" s="3" t="s">
        <v>16</v>
      </c>
      <c r="C2" s="3" t="s">
        <v>17</v>
      </c>
      <c r="D2" s="3" t="s">
        <v>18</v>
      </c>
      <c r="E2" s="4" t="s">
        <v>18</v>
      </c>
      <c r="F2" s="4"/>
      <c r="G2" s="5" t="s">
        <v>19</v>
      </c>
      <c r="H2" s="5" t="s">
        <v>20</v>
      </c>
      <c r="I2" s="5" t="s">
        <v>21</v>
      </c>
      <c r="J2" s="5" t="n">
        <v>17</v>
      </c>
      <c r="K2" s="5" t="n">
        <v>3</v>
      </c>
      <c r="L2" s="5" t="n">
        <v>0</v>
      </c>
      <c r="M2" s="5" t="n">
        <v>6</v>
      </c>
      <c r="N2" s="5" t="n">
        <v>5</v>
      </c>
      <c r="O2" s="5" t="n">
        <v>3</v>
      </c>
      <c r="P2" s="5" t="s">
        <v>22</v>
      </c>
    </row>
    <row r="3" customFormat="false" ht="46.25" hidden="false" customHeight="false" outlineLevel="0" collapsed="false">
      <c r="A3" s="3" t="n">
        <v>2</v>
      </c>
      <c r="B3" s="3" t="s">
        <v>16</v>
      </c>
      <c r="C3" s="3" t="s">
        <v>23</v>
      </c>
      <c r="D3" s="3" t="s">
        <v>18</v>
      </c>
      <c r="E3" s="3" t="s">
        <v>18</v>
      </c>
      <c r="F3" s="3"/>
      <c r="G3" s="5" t="s">
        <v>24</v>
      </c>
      <c r="H3" s="5" t="s">
        <v>25</v>
      </c>
      <c r="I3" s="5" t="s">
        <v>26</v>
      </c>
      <c r="J3" s="5" t="n">
        <v>15</v>
      </c>
      <c r="K3" s="5" t="n">
        <v>12</v>
      </c>
      <c r="L3" s="5" t="n">
        <v>0</v>
      </c>
      <c r="M3" s="5" t="n">
        <v>0</v>
      </c>
      <c r="N3" s="5" t="n">
        <v>0</v>
      </c>
      <c r="O3" s="5" t="n">
        <v>3</v>
      </c>
      <c r="P3" s="5" t="s">
        <v>27</v>
      </c>
    </row>
    <row r="4" customFormat="false" ht="46.25" hidden="false" customHeight="false" outlineLevel="0" collapsed="false">
      <c r="A4" s="3" t="n">
        <v>3</v>
      </c>
      <c r="B4" s="3" t="s">
        <v>16</v>
      </c>
      <c r="C4" s="6" t="s">
        <v>28</v>
      </c>
      <c r="D4" s="3" t="s">
        <v>18</v>
      </c>
      <c r="E4" s="3" t="s">
        <v>18</v>
      </c>
      <c r="F4" s="3"/>
      <c r="G4" s="5" t="s">
        <v>29</v>
      </c>
      <c r="H4" s="5" t="s">
        <v>30</v>
      </c>
      <c r="I4" s="5" t="s">
        <v>31</v>
      </c>
      <c r="J4" s="5" t="n">
        <v>15</v>
      </c>
      <c r="K4" s="5" t="n">
        <v>4</v>
      </c>
      <c r="L4" s="5" t="n">
        <v>8</v>
      </c>
      <c r="M4" s="5" t="n">
        <v>0</v>
      </c>
      <c r="N4" s="5" t="n">
        <v>0</v>
      </c>
      <c r="O4" s="5" t="n">
        <v>3</v>
      </c>
      <c r="P4" s="5" t="s">
        <v>32</v>
      </c>
    </row>
    <row r="5" customFormat="false" ht="46.25" hidden="false" customHeight="false" outlineLevel="0" collapsed="false">
      <c r="A5" s="3" t="n">
        <v>4</v>
      </c>
      <c r="B5" s="3" t="s">
        <v>16</v>
      </c>
      <c r="C5" s="6" t="s">
        <v>33</v>
      </c>
      <c r="D5" s="3" t="s">
        <v>18</v>
      </c>
      <c r="E5" s="7" t="s">
        <v>34</v>
      </c>
      <c r="F5" s="7" t="s">
        <v>35</v>
      </c>
      <c r="G5" s="5" t="s">
        <v>19</v>
      </c>
      <c r="H5" s="5" t="s">
        <v>36</v>
      </c>
      <c r="I5" s="5" t="s">
        <v>37</v>
      </c>
      <c r="J5" s="5" t="n">
        <v>14</v>
      </c>
      <c r="K5" s="5" t="n">
        <v>5</v>
      </c>
      <c r="L5" s="5" t="n">
        <v>0</v>
      </c>
      <c r="M5" s="5" t="n">
        <v>6</v>
      </c>
      <c r="N5" s="5" t="n">
        <v>0</v>
      </c>
      <c r="O5" s="5" t="n">
        <v>3</v>
      </c>
      <c r="P5" s="5" t="s">
        <v>22</v>
      </c>
      <c r="Q5" s="1" t="str">
        <f aca="false">"'"&amp;I5&amp;"'"</f>
        <v>'Autonomous information processing at the tactical level'</v>
      </c>
    </row>
    <row r="6" customFormat="false" ht="46.25" hidden="false" customHeight="false" outlineLevel="0" collapsed="false">
      <c r="A6" s="3" t="n">
        <v>5</v>
      </c>
      <c r="B6" s="3" t="s">
        <v>16</v>
      </c>
      <c r="C6" s="6" t="s">
        <v>38</v>
      </c>
      <c r="D6" s="3" t="s">
        <v>18</v>
      </c>
      <c r="E6" s="3" t="s">
        <v>18</v>
      </c>
      <c r="F6" s="3"/>
      <c r="G6" s="5" t="s">
        <v>39</v>
      </c>
      <c r="H6" s="5" t="s">
        <v>40</v>
      </c>
      <c r="I6" s="5" t="s">
        <v>41</v>
      </c>
      <c r="J6" s="5" t="n">
        <v>14</v>
      </c>
      <c r="K6" s="5" t="n">
        <v>3</v>
      </c>
      <c r="L6" s="5" t="n">
        <v>8</v>
      </c>
      <c r="M6" s="5" t="n">
        <v>0</v>
      </c>
      <c r="N6" s="5" t="n">
        <v>0</v>
      </c>
      <c r="O6" s="5" t="n">
        <v>3</v>
      </c>
      <c r="P6" s="5" t="s">
        <v>42</v>
      </c>
    </row>
    <row r="7" customFormat="false" ht="46.25" hidden="false" customHeight="false" outlineLevel="0" collapsed="false">
      <c r="A7" s="3" t="n">
        <v>6</v>
      </c>
      <c r="B7" s="3" t="s">
        <v>16</v>
      </c>
      <c r="C7" s="6" t="s">
        <v>43</v>
      </c>
      <c r="D7" s="3" t="s">
        <v>18</v>
      </c>
      <c r="E7" s="7" t="s">
        <v>34</v>
      </c>
      <c r="F7" s="7" t="s">
        <v>44</v>
      </c>
      <c r="G7" s="5" t="s">
        <v>45</v>
      </c>
      <c r="H7" s="5" t="s">
        <v>46</v>
      </c>
      <c r="I7" s="5" t="s">
        <v>47</v>
      </c>
      <c r="J7" s="5" t="n">
        <v>12</v>
      </c>
      <c r="K7" s="5" t="n">
        <v>9</v>
      </c>
      <c r="L7" s="5" t="n">
        <v>0</v>
      </c>
      <c r="M7" s="5" t="n">
        <v>0</v>
      </c>
      <c r="N7" s="5" t="n">
        <v>0</v>
      </c>
      <c r="O7" s="5" t="n">
        <v>3</v>
      </c>
      <c r="P7" s="5" t="s">
        <v>48</v>
      </c>
      <c r="Q7" s="1" t="str">
        <f aca="false">"'"&amp;I7&amp;"'"</f>
        <v>'Big Data Decision Support in Command and Control Systems'</v>
      </c>
    </row>
    <row r="8" customFormat="false" ht="46.25" hidden="false" customHeight="false" outlineLevel="0" collapsed="false">
      <c r="A8" s="3" t="n">
        <v>7</v>
      </c>
      <c r="B8" s="3" t="s">
        <v>16</v>
      </c>
      <c r="C8" s="6" t="s">
        <v>49</v>
      </c>
      <c r="D8" s="8" t="s">
        <v>18</v>
      </c>
      <c r="E8" s="7" t="s">
        <v>34</v>
      </c>
      <c r="F8" s="7"/>
      <c r="G8" s="5" t="s">
        <v>39</v>
      </c>
      <c r="H8" s="5" t="s">
        <v>50</v>
      </c>
      <c r="I8" s="5" t="s">
        <v>51</v>
      </c>
      <c r="J8" s="5" t="n">
        <v>12</v>
      </c>
      <c r="K8" s="5" t="n">
        <v>6</v>
      </c>
      <c r="L8" s="5" t="n">
        <v>1</v>
      </c>
      <c r="M8" s="5" t="n">
        <v>0</v>
      </c>
      <c r="N8" s="5" t="n">
        <v>2</v>
      </c>
      <c r="O8" s="5" t="n">
        <v>3</v>
      </c>
      <c r="P8" s="5" t="s">
        <v>42</v>
      </c>
      <c r="Q8" s="1" t="str">
        <f aca="false">"'"&amp;I8&amp;"'"</f>
        <v>'Data-driven, Service-oriented, Knowledge-based Command and Control'</v>
      </c>
    </row>
    <row r="9" customFormat="false" ht="46.25" hidden="false" customHeight="false" outlineLevel="0" collapsed="false">
      <c r="A9" s="3" t="n">
        <v>8</v>
      </c>
      <c r="B9" s="3" t="s">
        <v>16</v>
      </c>
      <c r="C9" s="6" t="s">
        <v>52</v>
      </c>
      <c r="D9" s="3" t="s">
        <v>18</v>
      </c>
      <c r="E9" s="3" t="s">
        <v>18</v>
      </c>
      <c r="F9" s="3"/>
      <c r="G9" s="5" t="s">
        <v>53</v>
      </c>
      <c r="H9" s="5" t="s">
        <v>54</v>
      </c>
      <c r="I9" s="5" t="s">
        <v>55</v>
      </c>
      <c r="J9" s="5" t="n">
        <v>12</v>
      </c>
      <c r="K9" s="5" t="n">
        <v>3</v>
      </c>
      <c r="L9" s="5" t="n">
        <v>0</v>
      </c>
      <c r="M9" s="5" t="n">
        <v>6</v>
      </c>
      <c r="N9" s="5" t="n">
        <v>0</v>
      </c>
      <c r="O9" s="5" t="n">
        <v>3</v>
      </c>
      <c r="P9" s="5" t="s">
        <v>56</v>
      </c>
    </row>
    <row r="10" customFormat="false" ht="46.25" hidden="false" customHeight="false" outlineLevel="0" collapsed="false">
      <c r="A10" s="3" t="n">
        <v>9</v>
      </c>
      <c r="B10" s="3" t="s">
        <v>16</v>
      </c>
      <c r="C10" s="6" t="s">
        <v>57</v>
      </c>
      <c r="D10" s="3" t="s">
        <v>18</v>
      </c>
      <c r="E10" s="7" t="s">
        <v>34</v>
      </c>
      <c r="F10" s="7" t="s">
        <v>58</v>
      </c>
      <c r="G10" s="5" t="s">
        <v>45</v>
      </c>
      <c r="H10" s="5" t="s">
        <v>59</v>
      </c>
      <c r="I10" s="5" t="s">
        <v>60</v>
      </c>
      <c r="J10" s="5" t="n">
        <v>12</v>
      </c>
      <c r="K10" s="5" t="n">
        <v>1</v>
      </c>
      <c r="L10" s="5" t="n">
        <v>8</v>
      </c>
      <c r="M10" s="5" t="n">
        <v>0</v>
      </c>
      <c r="N10" s="5" t="n">
        <v>0</v>
      </c>
      <c r="O10" s="5" t="n">
        <v>3</v>
      </c>
      <c r="P10" s="5" t="s">
        <v>48</v>
      </c>
      <c r="Q10" s="1" t="str">
        <f aca="false">"'"&amp;I10&amp;"'"</f>
        <v>'A Semantic-Based Information Integration Framework of Agile Command and Control'</v>
      </c>
    </row>
    <row r="11" customFormat="false" ht="46.25" hidden="false" customHeight="false" outlineLevel="0" collapsed="false">
      <c r="A11" s="3" t="n">
        <v>10</v>
      </c>
      <c r="B11" s="3" t="s">
        <v>16</v>
      </c>
      <c r="C11" s="6" t="s">
        <v>61</v>
      </c>
      <c r="D11" s="3" t="s">
        <v>18</v>
      </c>
      <c r="E11" s="3" t="s">
        <v>18</v>
      </c>
      <c r="F11" s="3"/>
      <c r="G11" s="5" t="s">
        <v>62</v>
      </c>
      <c r="H11" s="5" t="s">
        <v>63</v>
      </c>
      <c r="I11" s="5" t="s">
        <v>64</v>
      </c>
      <c r="J11" s="5" t="n">
        <v>12</v>
      </c>
      <c r="K11" s="5" t="n">
        <v>0</v>
      </c>
      <c r="L11" s="5" t="n">
        <v>5</v>
      </c>
      <c r="M11" s="5" t="n">
        <v>4</v>
      </c>
      <c r="N11" s="5" t="n">
        <v>0</v>
      </c>
      <c r="O11" s="5" t="n">
        <v>3</v>
      </c>
      <c r="P11" s="5" t="s">
        <v>65</v>
      </c>
    </row>
    <row r="12" customFormat="false" ht="46.25" hidden="false" customHeight="false" outlineLevel="0" collapsed="false">
      <c r="A12" s="9" t="n">
        <v>11</v>
      </c>
      <c r="B12" s="9" t="s">
        <v>16</v>
      </c>
      <c r="C12" s="10" t="s">
        <v>66</v>
      </c>
      <c r="D12" s="9" t="s">
        <v>18</v>
      </c>
      <c r="E12" s="7" t="s">
        <v>34</v>
      </c>
      <c r="F12" s="7" t="s">
        <v>67</v>
      </c>
      <c r="G12" s="11" t="s">
        <v>39</v>
      </c>
      <c r="H12" s="11" t="s">
        <v>68</v>
      </c>
      <c r="I12" s="11" t="s">
        <v>69</v>
      </c>
      <c r="J12" s="11" t="n">
        <v>9</v>
      </c>
      <c r="K12" s="11" t="n">
        <v>0</v>
      </c>
      <c r="L12" s="11" t="n">
        <v>0</v>
      </c>
      <c r="M12" s="11" t="n">
        <v>2</v>
      </c>
      <c r="N12" s="11" t="n">
        <v>7</v>
      </c>
      <c r="O12" s="11" t="n">
        <v>0</v>
      </c>
      <c r="P12" s="11" t="s">
        <v>42</v>
      </c>
      <c r="Q12" s="1" t="str">
        <f aca="false">"'"&amp;I12&amp;"'"</f>
        <v>'Enabling and Managing Data Provenance in a Command and Control Environment'</v>
      </c>
    </row>
    <row r="13" customFormat="false" ht="61.15" hidden="false" customHeight="false" outlineLevel="0" collapsed="false">
      <c r="A13" s="9" t="n">
        <v>12</v>
      </c>
      <c r="B13" s="9" t="s">
        <v>16</v>
      </c>
      <c r="C13" s="10" t="s">
        <v>70</v>
      </c>
      <c r="D13" s="8" t="s">
        <v>18</v>
      </c>
      <c r="E13" s="7" t="s">
        <v>34</v>
      </c>
      <c r="F13" s="7"/>
      <c r="G13" s="11" t="s">
        <v>29</v>
      </c>
      <c r="H13" s="11" t="s">
        <v>71</v>
      </c>
      <c r="I13" s="11" t="s">
        <v>72</v>
      </c>
      <c r="J13" s="11" t="n">
        <v>8</v>
      </c>
      <c r="K13" s="11" t="n">
        <v>5</v>
      </c>
      <c r="L13" s="11" t="n">
        <v>0</v>
      </c>
      <c r="M13" s="11" t="n">
        <v>0</v>
      </c>
      <c r="N13" s="11" t="n">
        <v>0</v>
      </c>
      <c r="O13" s="11" t="n">
        <v>3</v>
      </c>
      <c r="P13" s="11" t="s">
        <v>32</v>
      </c>
      <c r="Q13" s="1" t="str">
        <f aca="false">"'"&amp;I13&amp;"'"</f>
        <v>'Architectural concepts to support future C2 systems that enable Multi-Domain Operations'</v>
      </c>
    </row>
    <row r="14" customFormat="false" ht="46.25" hidden="false" customHeight="false" outlineLevel="0" collapsed="false">
      <c r="A14" s="9" t="n">
        <v>13</v>
      </c>
      <c r="B14" s="9" t="s">
        <v>16</v>
      </c>
      <c r="C14" s="10" t="s">
        <v>73</v>
      </c>
      <c r="D14" s="9" t="s">
        <v>18</v>
      </c>
      <c r="E14" s="7" t="s">
        <v>34</v>
      </c>
      <c r="F14" s="7"/>
      <c r="G14" s="11" t="s">
        <v>24</v>
      </c>
      <c r="H14" s="11" t="s">
        <v>74</v>
      </c>
      <c r="I14" s="11" t="s">
        <v>75</v>
      </c>
      <c r="J14" s="11" t="n">
        <v>8</v>
      </c>
      <c r="K14" s="11" t="n">
        <v>1</v>
      </c>
      <c r="L14" s="11" t="n">
        <v>4</v>
      </c>
      <c r="M14" s="11" t="n">
        <v>0</v>
      </c>
      <c r="N14" s="11" t="n">
        <v>0</v>
      </c>
      <c r="O14" s="11" t="n">
        <v>3</v>
      </c>
      <c r="P14" s="11" t="s">
        <v>27</v>
      </c>
      <c r="Q14" s="1" t="str">
        <f aca="false">"'"&amp;I14&amp;"'"</f>
        <v>'Modularising software for influence operation detection in social media'</v>
      </c>
    </row>
    <row r="15" customFormat="false" ht="61.15" hidden="false" customHeight="false" outlineLevel="0" collapsed="false">
      <c r="A15" s="9" t="n">
        <v>14</v>
      </c>
      <c r="B15" s="9" t="s">
        <v>16</v>
      </c>
      <c r="C15" s="10" t="s">
        <v>76</v>
      </c>
      <c r="D15" s="9" t="s">
        <v>18</v>
      </c>
      <c r="E15" s="9" t="s">
        <v>18</v>
      </c>
      <c r="F15" s="9"/>
      <c r="G15" s="11" t="s">
        <v>62</v>
      </c>
      <c r="H15" s="11" t="s">
        <v>77</v>
      </c>
      <c r="I15" s="11" t="s">
        <v>78</v>
      </c>
      <c r="J15" s="11" t="n">
        <v>8</v>
      </c>
      <c r="K15" s="11" t="n">
        <v>0</v>
      </c>
      <c r="L15" s="11" t="n">
        <v>5</v>
      </c>
      <c r="M15" s="11" t="n">
        <v>0</v>
      </c>
      <c r="N15" s="11" t="n">
        <v>0</v>
      </c>
      <c r="O15" s="11" t="n">
        <v>3</v>
      </c>
      <c r="P15" s="11" t="s">
        <v>65</v>
      </c>
    </row>
    <row r="16" customFormat="false" ht="61.15" hidden="false" customHeight="false" outlineLevel="0" collapsed="false">
      <c r="A16" s="9" t="n">
        <v>15</v>
      </c>
      <c r="B16" s="9" t="s">
        <v>16</v>
      </c>
      <c r="C16" s="10" t="s">
        <v>79</v>
      </c>
      <c r="D16" s="9" t="s">
        <v>18</v>
      </c>
      <c r="E16" s="9" t="s">
        <v>18</v>
      </c>
      <c r="F16" s="9"/>
      <c r="G16" s="11" t="s">
        <v>19</v>
      </c>
      <c r="H16" s="11" t="s">
        <v>80</v>
      </c>
      <c r="I16" s="11" t="s">
        <v>81</v>
      </c>
      <c r="J16" s="11" t="n">
        <v>8</v>
      </c>
      <c r="K16" s="11" t="n">
        <v>0</v>
      </c>
      <c r="L16" s="11" t="n">
        <v>5</v>
      </c>
      <c r="M16" s="11" t="n">
        <v>0</v>
      </c>
      <c r="N16" s="11" t="n">
        <v>0</v>
      </c>
      <c r="O16" s="11" t="n">
        <v>3</v>
      </c>
      <c r="P16" s="11" t="s">
        <v>22</v>
      </c>
    </row>
    <row r="17" customFormat="false" ht="46.25" hidden="false" customHeight="false" outlineLevel="0" collapsed="false">
      <c r="A17" s="9" t="n">
        <v>16</v>
      </c>
      <c r="B17" s="9" t="s">
        <v>16</v>
      </c>
      <c r="C17" s="10" t="s">
        <v>82</v>
      </c>
      <c r="D17" s="9" t="s">
        <v>18</v>
      </c>
      <c r="E17" s="9" t="s">
        <v>18</v>
      </c>
      <c r="F17" s="9"/>
      <c r="G17" s="11" t="s">
        <v>83</v>
      </c>
      <c r="H17" s="11" t="s">
        <v>84</v>
      </c>
      <c r="I17" s="11" t="s">
        <v>85</v>
      </c>
      <c r="J17" s="11" t="n">
        <v>8</v>
      </c>
      <c r="K17" s="11" t="n">
        <v>0</v>
      </c>
      <c r="L17" s="11" t="n">
        <v>3</v>
      </c>
      <c r="M17" s="11" t="n">
        <v>2</v>
      </c>
      <c r="N17" s="11" t="n">
        <v>0</v>
      </c>
      <c r="O17" s="11" t="n">
        <v>3</v>
      </c>
      <c r="P17" s="11" t="s">
        <v>86</v>
      </c>
    </row>
    <row r="18" customFormat="false" ht="46.25" hidden="false" customHeight="false" outlineLevel="0" collapsed="false">
      <c r="A18" s="9" t="n">
        <v>17</v>
      </c>
      <c r="B18" s="9" t="s">
        <v>16</v>
      </c>
      <c r="C18" s="10" t="s">
        <v>87</v>
      </c>
      <c r="D18" s="9" t="s">
        <v>18</v>
      </c>
      <c r="E18" s="9" t="s">
        <v>18</v>
      </c>
      <c r="F18" s="9"/>
      <c r="G18" s="11" t="s">
        <v>29</v>
      </c>
      <c r="H18" s="11" t="s">
        <v>88</v>
      </c>
      <c r="I18" s="11" t="s">
        <v>89</v>
      </c>
      <c r="J18" s="11" t="n">
        <v>8</v>
      </c>
      <c r="K18" s="11" t="n">
        <v>0</v>
      </c>
      <c r="L18" s="11" t="n">
        <v>3</v>
      </c>
      <c r="M18" s="11" t="n">
        <v>2</v>
      </c>
      <c r="N18" s="11" t="n">
        <v>0</v>
      </c>
      <c r="O18" s="11" t="n">
        <v>3</v>
      </c>
      <c r="P18" s="11" t="s">
        <v>32</v>
      </c>
    </row>
    <row r="19" customFormat="false" ht="46.25" hidden="false" customHeight="false" outlineLevel="0" collapsed="false">
      <c r="A19" s="12" t="n">
        <v>18</v>
      </c>
      <c r="B19" s="12" t="s">
        <v>16</v>
      </c>
      <c r="C19" s="13" t="s">
        <v>90</v>
      </c>
      <c r="D19" s="12" t="s">
        <v>18</v>
      </c>
      <c r="E19" s="12" t="s">
        <v>18</v>
      </c>
      <c r="F19" s="12"/>
      <c r="G19" s="14" t="s">
        <v>45</v>
      </c>
      <c r="H19" s="14" t="s">
        <v>91</v>
      </c>
      <c r="I19" s="14" t="s">
        <v>92</v>
      </c>
      <c r="J19" s="14" t="n">
        <v>7</v>
      </c>
      <c r="K19" s="14" t="n">
        <v>4</v>
      </c>
      <c r="L19" s="14" t="n">
        <v>0</v>
      </c>
      <c r="M19" s="14" t="n">
        <v>0</v>
      </c>
      <c r="N19" s="14" t="n">
        <v>0</v>
      </c>
      <c r="O19" s="14" t="n">
        <v>3</v>
      </c>
      <c r="P19" s="14" t="s">
        <v>48</v>
      </c>
    </row>
    <row r="20" customFormat="false" ht="46.25" hidden="false" customHeight="false" outlineLevel="0" collapsed="false">
      <c r="A20" s="12" t="n">
        <v>19</v>
      </c>
      <c r="B20" s="12" t="s">
        <v>16</v>
      </c>
      <c r="C20" s="13" t="s">
        <v>93</v>
      </c>
      <c r="D20" s="12" t="s">
        <v>18</v>
      </c>
      <c r="E20" s="12" t="s">
        <v>18</v>
      </c>
      <c r="F20" s="12"/>
      <c r="G20" s="14" t="s">
        <v>94</v>
      </c>
      <c r="H20" s="14" t="s">
        <v>95</v>
      </c>
      <c r="I20" s="14" t="s">
        <v>96</v>
      </c>
      <c r="J20" s="14" t="n">
        <v>7</v>
      </c>
      <c r="K20" s="14" t="n">
        <v>4</v>
      </c>
      <c r="L20" s="14" t="n">
        <v>0</v>
      </c>
      <c r="M20" s="14" t="n">
        <v>0</v>
      </c>
      <c r="N20" s="14" t="n">
        <v>0</v>
      </c>
      <c r="O20" s="14" t="n">
        <v>3</v>
      </c>
      <c r="P20" s="14" t="s">
        <v>97</v>
      </c>
    </row>
    <row r="21" customFormat="false" ht="46.25" hidden="false" customHeight="false" outlineLevel="0" collapsed="false">
      <c r="A21" s="12" t="n">
        <v>20</v>
      </c>
      <c r="B21" s="12" t="s">
        <v>16</v>
      </c>
      <c r="C21" s="13" t="s">
        <v>98</v>
      </c>
      <c r="D21" s="12" t="s">
        <v>18</v>
      </c>
      <c r="E21" s="12" t="s">
        <v>18</v>
      </c>
      <c r="F21" s="12"/>
      <c r="G21" s="14" t="s">
        <v>24</v>
      </c>
      <c r="H21" s="14" t="s">
        <v>99</v>
      </c>
      <c r="I21" s="14" t="s">
        <v>100</v>
      </c>
      <c r="J21" s="14" t="n">
        <v>7</v>
      </c>
      <c r="K21" s="14" t="n">
        <v>4</v>
      </c>
      <c r="L21" s="14" t="n">
        <v>0</v>
      </c>
      <c r="M21" s="14" t="n">
        <v>0</v>
      </c>
      <c r="N21" s="14" t="n">
        <v>0</v>
      </c>
      <c r="O21" s="14" t="n">
        <v>3</v>
      </c>
      <c r="P21" s="14" t="s">
        <v>27</v>
      </c>
    </row>
    <row r="22" customFormat="false" ht="46.25" hidden="false" customHeight="false" outlineLevel="0" collapsed="false">
      <c r="A22" s="12" t="n">
        <v>21</v>
      </c>
      <c r="B22" s="12" t="s">
        <v>16</v>
      </c>
      <c r="C22" s="13" t="s">
        <v>101</v>
      </c>
      <c r="D22" s="12" t="s">
        <v>18</v>
      </c>
      <c r="E22" s="7" t="s">
        <v>34</v>
      </c>
      <c r="F22" s="7"/>
      <c r="G22" s="14" t="s">
        <v>83</v>
      </c>
      <c r="H22" s="14" t="s">
        <v>102</v>
      </c>
      <c r="I22" s="14" t="s">
        <v>103</v>
      </c>
      <c r="J22" s="14" t="n">
        <v>7</v>
      </c>
      <c r="K22" s="14" t="n">
        <v>4</v>
      </c>
      <c r="L22" s="14" t="n">
        <v>0</v>
      </c>
      <c r="M22" s="14" t="n">
        <v>0</v>
      </c>
      <c r="N22" s="14" t="n">
        <v>0</v>
      </c>
      <c r="O22" s="14" t="n">
        <v>3</v>
      </c>
      <c r="P22" s="14" t="s">
        <v>86</v>
      </c>
      <c r="Q22" s="1" t="str">
        <f aca="false">"'"&amp;I22&amp;"'"</f>
        <v>'A Proposed Hardware-Software Architecture for C5ISR System in the Amazon Operations'</v>
      </c>
    </row>
    <row r="23" customFormat="false" ht="46.25" hidden="false" customHeight="false" outlineLevel="0" collapsed="false">
      <c r="A23" s="12" t="n">
        <v>22</v>
      </c>
      <c r="B23" s="12" t="s">
        <v>16</v>
      </c>
      <c r="C23" s="13" t="s">
        <v>104</v>
      </c>
      <c r="D23" s="12" t="s">
        <v>18</v>
      </c>
      <c r="E23" s="12" t="s">
        <v>18</v>
      </c>
      <c r="F23" s="12"/>
      <c r="G23" s="14" t="s">
        <v>83</v>
      </c>
      <c r="H23" s="14" t="s">
        <v>105</v>
      </c>
      <c r="I23" s="14" t="s">
        <v>106</v>
      </c>
      <c r="J23" s="14" t="n">
        <v>7</v>
      </c>
      <c r="K23" s="14" t="n">
        <v>4</v>
      </c>
      <c r="L23" s="14" t="n">
        <v>0</v>
      </c>
      <c r="M23" s="14" t="n">
        <v>0</v>
      </c>
      <c r="N23" s="14" t="n">
        <v>0</v>
      </c>
      <c r="O23" s="14" t="n">
        <v>3</v>
      </c>
      <c r="P23" s="14" t="s">
        <v>86</v>
      </c>
    </row>
    <row r="24" customFormat="false" ht="46.25" hidden="false" customHeight="false" outlineLevel="0" collapsed="false">
      <c r="A24" s="12" t="n">
        <v>23</v>
      </c>
      <c r="B24" s="12" t="s">
        <v>16</v>
      </c>
      <c r="C24" s="13" t="s">
        <v>107</v>
      </c>
      <c r="D24" s="12" t="s">
        <v>18</v>
      </c>
      <c r="E24" s="12" t="s">
        <v>18</v>
      </c>
      <c r="F24" s="12"/>
      <c r="G24" s="14" t="s">
        <v>29</v>
      </c>
      <c r="H24" s="14" t="s">
        <v>108</v>
      </c>
      <c r="I24" s="14" t="s">
        <v>109</v>
      </c>
      <c r="J24" s="14" t="n">
        <v>7</v>
      </c>
      <c r="K24" s="14" t="n">
        <v>4</v>
      </c>
      <c r="L24" s="14" t="n">
        <v>0</v>
      </c>
      <c r="M24" s="14" t="n">
        <v>0</v>
      </c>
      <c r="N24" s="14" t="n">
        <v>0</v>
      </c>
      <c r="O24" s="14" t="n">
        <v>3</v>
      </c>
      <c r="P24" s="14" t="s">
        <v>32</v>
      </c>
    </row>
    <row r="25" customFormat="false" ht="31.3" hidden="false" customHeight="false" outlineLevel="0" collapsed="false">
      <c r="A25" s="7" t="n">
        <v>24</v>
      </c>
      <c r="B25" s="7" t="s">
        <v>16</v>
      </c>
      <c r="C25" s="7" t="s">
        <v>110</v>
      </c>
      <c r="D25" s="7" t="s">
        <v>111</v>
      </c>
      <c r="E25" s="7"/>
      <c r="F25" s="7"/>
      <c r="G25" s="15" t="s">
        <v>39</v>
      </c>
      <c r="H25" s="15" t="s">
        <v>112</v>
      </c>
      <c r="I25" s="15" t="s">
        <v>113</v>
      </c>
      <c r="J25" s="15" t="n">
        <v>7</v>
      </c>
      <c r="K25" s="15" t="n">
        <v>0</v>
      </c>
      <c r="L25" s="15" t="n">
        <v>4</v>
      </c>
      <c r="M25" s="15" t="n">
        <v>0</v>
      </c>
      <c r="N25" s="15" t="n">
        <v>0</v>
      </c>
      <c r="O25" s="15" t="n">
        <v>3</v>
      </c>
      <c r="P25" s="15" t="s">
        <v>114</v>
      </c>
      <c r="Q25" s="16"/>
    </row>
    <row r="26" customFormat="false" ht="46.25" hidden="false" customHeight="false" outlineLevel="0" collapsed="false">
      <c r="A26" s="7" t="n">
        <v>25</v>
      </c>
      <c r="B26" s="7" t="s">
        <v>16</v>
      </c>
      <c r="C26" s="7" t="s">
        <v>115</v>
      </c>
      <c r="D26" s="7" t="s">
        <v>111</v>
      </c>
      <c r="E26" s="7"/>
      <c r="F26" s="7"/>
      <c r="G26" s="15" t="s">
        <v>45</v>
      </c>
      <c r="H26" s="15" t="s">
        <v>116</v>
      </c>
      <c r="I26" s="15" t="s">
        <v>117</v>
      </c>
      <c r="J26" s="15" t="n">
        <v>7</v>
      </c>
      <c r="K26" s="15" t="n">
        <v>0</v>
      </c>
      <c r="L26" s="15" t="n">
        <v>4</v>
      </c>
      <c r="M26" s="15" t="n">
        <v>0</v>
      </c>
      <c r="N26" s="15" t="n">
        <v>0</v>
      </c>
      <c r="O26" s="15" t="n">
        <v>3</v>
      </c>
      <c r="P26" s="15" t="s">
        <v>118</v>
      </c>
      <c r="Q26" s="16"/>
    </row>
    <row r="27" customFormat="false" ht="46.25" hidden="false" customHeight="false" outlineLevel="0" collapsed="false">
      <c r="A27" s="12" t="n">
        <v>26</v>
      </c>
      <c r="B27" s="12" t="s">
        <v>16</v>
      </c>
      <c r="C27" s="13" t="s">
        <v>119</v>
      </c>
      <c r="D27" s="12" t="s">
        <v>18</v>
      </c>
      <c r="E27" s="12" t="s">
        <v>18</v>
      </c>
      <c r="F27" s="12"/>
      <c r="G27" s="14" t="s">
        <v>39</v>
      </c>
      <c r="H27" s="14" t="s">
        <v>120</v>
      </c>
      <c r="I27" s="14" t="s">
        <v>121</v>
      </c>
      <c r="J27" s="14" t="n">
        <v>7</v>
      </c>
      <c r="K27" s="14" t="n">
        <v>0</v>
      </c>
      <c r="L27" s="14" t="n">
        <v>4</v>
      </c>
      <c r="M27" s="14" t="n">
        <v>0</v>
      </c>
      <c r="N27" s="14" t="n">
        <v>0</v>
      </c>
      <c r="O27" s="14" t="n">
        <v>3</v>
      </c>
      <c r="P27" s="14" t="s">
        <v>42</v>
      </c>
    </row>
    <row r="28" customFormat="false" ht="46.25" hidden="false" customHeight="false" outlineLevel="0" collapsed="false">
      <c r="A28" s="12" t="n">
        <v>27</v>
      </c>
      <c r="B28" s="12" t="s">
        <v>16</v>
      </c>
      <c r="C28" s="13" t="s">
        <v>122</v>
      </c>
      <c r="D28" s="12" t="s">
        <v>18</v>
      </c>
      <c r="E28" s="12" t="s">
        <v>18</v>
      </c>
      <c r="F28" s="12"/>
      <c r="G28" s="14" t="s">
        <v>39</v>
      </c>
      <c r="H28" s="14" t="s">
        <v>123</v>
      </c>
      <c r="I28" s="14" t="s">
        <v>124</v>
      </c>
      <c r="J28" s="14" t="n">
        <v>7</v>
      </c>
      <c r="K28" s="14" t="n">
        <v>0</v>
      </c>
      <c r="L28" s="14" t="n">
        <v>4</v>
      </c>
      <c r="M28" s="14" t="n">
        <v>0</v>
      </c>
      <c r="N28" s="14" t="n">
        <v>0</v>
      </c>
      <c r="O28" s="14" t="n">
        <v>3</v>
      </c>
      <c r="P28" s="14" t="s">
        <v>42</v>
      </c>
    </row>
    <row r="29" customFormat="false" ht="46.25" hidden="false" customHeight="false" outlineLevel="0" collapsed="false">
      <c r="A29" s="12" t="n">
        <v>28</v>
      </c>
      <c r="B29" s="12" t="s">
        <v>16</v>
      </c>
      <c r="C29" s="13" t="s">
        <v>125</v>
      </c>
      <c r="D29" s="12" t="s">
        <v>18</v>
      </c>
      <c r="E29" s="12" t="s">
        <v>18</v>
      </c>
      <c r="F29" s="12"/>
      <c r="G29" s="14" t="s">
        <v>29</v>
      </c>
      <c r="H29" s="14" t="s">
        <v>126</v>
      </c>
      <c r="I29" s="14" t="s">
        <v>127</v>
      </c>
      <c r="J29" s="14" t="n">
        <v>7</v>
      </c>
      <c r="K29" s="14" t="n">
        <v>0</v>
      </c>
      <c r="L29" s="14" t="n">
        <v>4</v>
      </c>
      <c r="M29" s="14" t="n">
        <v>0</v>
      </c>
      <c r="N29" s="14" t="n">
        <v>0</v>
      </c>
      <c r="O29" s="14" t="n">
        <v>3</v>
      </c>
      <c r="P29" s="14" t="s">
        <v>32</v>
      </c>
    </row>
    <row r="30" customFormat="false" ht="46.25" hidden="false" customHeight="false" outlineLevel="0" collapsed="false">
      <c r="A30" s="12" t="n">
        <v>29</v>
      </c>
      <c r="B30" s="12" t="s">
        <v>16</v>
      </c>
      <c r="C30" s="13" t="s">
        <v>128</v>
      </c>
      <c r="D30" s="12" t="s">
        <v>18</v>
      </c>
      <c r="E30" s="7" t="s">
        <v>34</v>
      </c>
      <c r="F30" s="7"/>
      <c r="G30" s="14" t="s">
        <v>129</v>
      </c>
      <c r="H30" s="14" t="s">
        <v>130</v>
      </c>
      <c r="I30" s="14" t="s">
        <v>131</v>
      </c>
      <c r="J30" s="14" t="n">
        <v>7</v>
      </c>
      <c r="K30" s="14" t="n">
        <v>0</v>
      </c>
      <c r="L30" s="14" t="n">
        <v>0</v>
      </c>
      <c r="M30" s="14" t="n">
        <v>0</v>
      </c>
      <c r="N30" s="14" t="n">
        <v>7</v>
      </c>
      <c r="O30" s="14" t="n">
        <v>0</v>
      </c>
      <c r="P30" s="14" t="s">
        <v>132</v>
      </c>
      <c r="Q30" s="1" t="str">
        <f aca="false">"'"&amp;I30&amp;"'"</f>
        <v>'The Missions &amp; Means Framework (MMF) Ontology: Matching Military Assets to Mission Objectives'</v>
      </c>
    </row>
    <row r="31" customFormat="false" ht="46.25" hidden="false" customHeight="false" outlineLevel="0" collapsed="false">
      <c r="A31" s="17" t="n">
        <v>30</v>
      </c>
      <c r="B31" s="17" t="s">
        <v>133</v>
      </c>
      <c r="C31" s="18" t="s">
        <v>134</v>
      </c>
      <c r="D31" s="8" t="s">
        <v>18</v>
      </c>
      <c r="E31" s="7" t="s">
        <v>34</v>
      </c>
      <c r="F31" s="7"/>
      <c r="G31" s="19" t="s">
        <v>94</v>
      </c>
      <c r="H31" s="19" t="s">
        <v>135</v>
      </c>
      <c r="I31" s="19" t="s">
        <v>136</v>
      </c>
      <c r="J31" s="19" t="n">
        <v>6</v>
      </c>
      <c r="K31" s="19" t="n">
        <v>0</v>
      </c>
      <c r="L31" s="19" t="n">
        <v>0</v>
      </c>
      <c r="M31" s="19" t="n">
        <v>6</v>
      </c>
      <c r="N31" s="19" t="n">
        <v>0</v>
      </c>
      <c r="O31" s="19" t="n">
        <v>0</v>
      </c>
      <c r="P31" s="19" t="s">
        <v>97</v>
      </c>
      <c r="Q31" s="1" t="str">
        <f aca="false">"'"&amp;I31&amp;"'"</f>
        <v>'Artificial Intelligence for Decision Support in Command and Control Systems'</v>
      </c>
    </row>
    <row r="32" customFormat="false" ht="46.25" hidden="false" customHeight="false" outlineLevel="0" collapsed="false">
      <c r="A32" s="17" t="n">
        <v>31</v>
      </c>
      <c r="B32" s="17" t="s">
        <v>133</v>
      </c>
      <c r="C32" s="18" t="s">
        <v>137</v>
      </c>
      <c r="D32" s="17" t="s">
        <v>18</v>
      </c>
      <c r="E32" s="4" t="s">
        <v>18</v>
      </c>
      <c r="F32" s="4"/>
      <c r="G32" s="19" t="s">
        <v>19</v>
      </c>
      <c r="H32" s="19" t="s">
        <v>138</v>
      </c>
      <c r="I32" s="19" t="s">
        <v>139</v>
      </c>
      <c r="J32" s="19" t="n">
        <v>6</v>
      </c>
      <c r="K32" s="19" t="n">
        <v>0</v>
      </c>
      <c r="L32" s="19" t="n">
        <v>0</v>
      </c>
      <c r="M32" s="19" t="n">
        <v>6</v>
      </c>
      <c r="N32" s="19" t="n">
        <v>0</v>
      </c>
      <c r="O32" s="19" t="n">
        <v>0</v>
      </c>
      <c r="P32" s="19" t="s">
        <v>22</v>
      </c>
    </row>
    <row r="33" customFormat="false" ht="46.25" hidden="false" customHeight="false" outlineLevel="0" collapsed="false">
      <c r="A33" s="17" t="n">
        <v>32</v>
      </c>
      <c r="B33" s="17" t="s">
        <v>133</v>
      </c>
      <c r="C33" s="18" t="s">
        <v>140</v>
      </c>
      <c r="D33" s="17" t="s">
        <v>18</v>
      </c>
      <c r="E33" s="17" t="s">
        <v>18</v>
      </c>
      <c r="F33" s="17"/>
      <c r="G33" s="19" t="s">
        <v>29</v>
      </c>
      <c r="H33" s="19" t="s">
        <v>141</v>
      </c>
      <c r="I33" s="19" t="s">
        <v>142</v>
      </c>
      <c r="J33" s="19" t="n">
        <v>6</v>
      </c>
      <c r="K33" s="19" t="n">
        <v>0</v>
      </c>
      <c r="L33" s="19" t="n">
        <v>0</v>
      </c>
      <c r="M33" s="19" t="n">
        <v>6</v>
      </c>
      <c r="N33" s="19" t="n">
        <v>0</v>
      </c>
      <c r="O33" s="19" t="n">
        <v>0</v>
      </c>
      <c r="P33" s="19" t="s">
        <v>32</v>
      </c>
    </row>
    <row r="34" customFormat="false" ht="61.15" hidden="false" customHeight="false" outlineLevel="0" collapsed="false">
      <c r="A34" s="17" t="n">
        <v>33</v>
      </c>
      <c r="B34" s="17" t="s">
        <v>133</v>
      </c>
      <c r="C34" s="18" t="s">
        <v>143</v>
      </c>
      <c r="D34" s="17" t="s">
        <v>18</v>
      </c>
      <c r="E34" s="4" t="s">
        <v>18</v>
      </c>
      <c r="F34" s="4"/>
      <c r="G34" s="19" t="s">
        <v>29</v>
      </c>
      <c r="H34" s="19" t="s">
        <v>144</v>
      </c>
      <c r="I34" s="19" t="s">
        <v>145</v>
      </c>
      <c r="J34" s="19" t="n">
        <v>6</v>
      </c>
      <c r="K34" s="19" t="n">
        <v>0</v>
      </c>
      <c r="L34" s="19" t="n">
        <v>0</v>
      </c>
      <c r="M34" s="19" t="n">
        <v>6</v>
      </c>
      <c r="N34" s="19" t="n">
        <v>0</v>
      </c>
      <c r="O34" s="19" t="n">
        <v>0</v>
      </c>
      <c r="P34" s="19" t="s">
        <v>32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  <col collapsed="false" customWidth="true" hidden="false" outlineLevel="0" max="3" min="3" style="1" width="12"/>
    <col collapsed="false" customWidth="true" hidden="false" outlineLevel="0" max="15" min="4" style="1" width="35"/>
  </cols>
  <sheetData>
    <row r="1" customFormat="false" ht="34.5" hidden="false" customHeight="true" outlineLevel="0" collapsed="false">
      <c r="A1" s="2" t="s">
        <v>2</v>
      </c>
      <c r="B1" s="2" t="s">
        <v>8</v>
      </c>
      <c r="C1" s="2" t="s">
        <v>1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</row>
    <row r="2" customFormat="false" ht="16.4" hidden="false" customHeight="false" outlineLevel="0" collapsed="false">
      <c r="A2" s="5" t="s">
        <v>158</v>
      </c>
      <c r="B2" s="5" t="s">
        <v>21</v>
      </c>
      <c r="C2" s="5" t="s">
        <v>16</v>
      </c>
      <c r="D2" s="5"/>
      <c r="E2" s="5" t="s">
        <v>159</v>
      </c>
      <c r="F2" s="5"/>
      <c r="G2" s="5"/>
      <c r="H2" s="5"/>
      <c r="I2" s="5"/>
      <c r="J2" s="5"/>
      <c r="K2" s="5"/>
      <c r="L2" s="5" t="s">
        <v>160</v>
      </c>
      <c r="M2" s="5" t="s">
        <v>161</v>
      </c>
      <c r="N2" s="5" t="s">
        <v>162</v>
      </c>
      <c r="O2" s="5"/>
    </row>
    <row r="3" customFormat="false" ht="31.3" hidden="false" customHeight="false" outlineLevel="0" collapsed="false">
      <c r="A3" s="5" t="s">
        <v>163</v>
      </c>
      <c r="B3" s="5" t="s">
        <v>26</v>
      </c>
      <c r="C3" s="5" t="s">
        <v>16</v>
      </c>
      <c r="D3" s="5" t="s">
        <v>164</v>
      </c>
      <c r="E3" s="5" t="s">
        <v>165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6.4" hidden="false" customHeight="false" outlineLevel="0" collapsed="false">
      <c r="A4" s="5" t="s">
        <v>166</v>
      </c>
      <c r="B4" s="5" t="s">
        <v>31</v>
      </c>
      <c r="C4" s="5" t="s">
        <v>16</v>
      </c>
      <c r="D4" s="5"/>
      <c r="E4" s="5"/>
      <c r="F4" s="5" t="s">
        <v>167</v>
      </c>
      <c r="G4" s="5" t="s">
        <v>167</v>
      </c>
      <c r="H4" s="5" t="s">
        <v>168</v>
      </c>
      <c r="I4" s="5" t="s">
        <v>169</v>
      </c>
      <c r="J4" s="5"/>
      <c r="K4" s="5"/>
      <c r="L4" s="5"/>
      <c r="M4" s="5"/>
      <c r="N4" s="5"/>
      <c r="O4" s="5"/>
    </row>
    <row r="5" customFormat="false" ht="16.4" hidden="false" customHeight="false" outlineLevel="0" collapsed="false">
      <c r="A5" s="5" t="s">
        <v>170</v>
      </c>
      <c r="B5" s="5" t="s">
        <v>37</v>
      </c>
      <c r="C5" s="5" t="s">
        <v>16</v>
      </c>
      <c r="D5" s="5"/>
      <c r="E5" s="5" t="s">
        <v>159</v>
      </c>
      <c r="F5" s="5"/>
      <c r="G5" s="5" t="s">
        <v>171</v>
      </c>
      <c r="H5" s="5"/>
      <c r="I5" s="5"/>
      <c r="J5" s="5"/>
      <c r="K5" s="5"/>
      <c r="L5" s="5" t="s">
        <v>172</v>
      </c>
      <c r="M5" s="5" t="s">
        <v>173</v>
      </c>
      <c r="N5" s="5"/>
      <c r="O5" s="5"/>
    </row>
    <row r="6" customFormat="false" ht="31.3" hidden="false" customHeight="false" outlineLevel="0" collapsed="false">
      <c r="A6" s="5" t="s">
        <v>174</v>
      </c>
      <c r="B6" s="5" t="s">
        <v>41</v>
      </c>
      <c r="C6" s="5" t="s">
        <v>16</v>
      </c>
      <c r="D6" s="5"/>
      <c r="E6" s="5" t="s">
        <v>159</v>
      </c>
      <c r="F6" s="5"/>
      <c r="G6" s="5"/>
      <c r="H6" s="5" t="s">
        <v>175</v>
      </c>
      <c r="I6" s="5" t="s">
        <v>175</v>
      </c>
      <c r="J6" s="5"/>
      <c r="K6" s="5"/>
      <c r="L6" s="5"/>
      <c r="M6" s="5"/>
      <c r="N6" s="5"/>
      <c r="O6" s="5"/>
    </row>
    <row r="7" customFormat="false" ht="16.4" hidden="false" customHeight="false" outlineLevel="0" collapsed="false">
      <c r="A7" s="5" t="s">
        <v>176</v>
      </c>
      <c r="B7" s="5" t="s">
        <v>47</v>
      </c>
      <c r="C7" s="5" t="s">
        <v>16</v>
      </c>
      <c r="D7" s="5" t="s">
        <v>159</v>
      </c>
      <c r="E7" s="5" t="s">
        <v>159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31.3" hidden="false" customHeight="false" outlineLevel="0" collapsed="false">
      <c r="A8" s="5" t="s">
        <v>177</v>
      </c>
      <c r="B8" s="5" t="s">
        <v>51</v>
      </c>
      <c r="C8" s="5" t="s">
        <v>16</v>
      </c>
      <c r="D8" s="5"/>
      <c r="E8" s="5"/>
      <c r="F8" s="5" t="s">
        <v>178</v>
      </c>
      <c r="G8" s="5" t="s">
        <v>179</v>
      </c>
      <c r="H8" s="5"/>
      <c r="I8" s="5"/>
      <c r="J8" s="5"/>
      <c r="K8" s="5" t="s">
        <v>180</v>
      </c>
      <c r="L8" s="5"/>
      <c r="M8" s="5"/>
      <c r="N8" s="5"/>
      <c r="O8" s="5" t="s">
        <v>181</v>
      </c>
    </row>
    <row r="9" customFormat="false" ht="31.3" hidden="false" customHeight="false" outlineLevel="0" collapsed="false">
      <c r="A9" s="5" t="s">
        <v>182</v>
      </c>
      <c r="B9" s="5" t="s">
        <v>55</v>
      </c>
      <c r="C9" s="5" t="s">
        <v>16</v>
      </c>
      <c r="D9" s="5"/>
      <c r="E9" s="5" t="s">
        <v>183</v>
      </c>
      <c r="F9" s="5"/>
      <c r="G9" s="5"/>
      <c r="H9" s="5"/>
      <c r="I9" s="5"/>
      <c r="J9" s="5"/>
      <c r="K9" s="5"/>
      <c r="L9" s="5"/>
      <c r="M9" s="5" t="s">
        <v>184</v>
      </c>
      <c r="N9" s="5"/>
      <c r="O9" s="5"/>
    </row>
    <row r="10" customFormat="false" ht="31.3" hidden="false" customHeight="false" outlineLevel="0" collapsed="false">
      <c r="A10" s="5" t="s">
        <v>185</v>
      </c>
      <c r="B10" s="5" t="s">
        <v>60</v>
      </c>
      <c r="C10" s="5" t="s">
        <v>16</v>
      </c>
      <c r="D10" s="5"/>
      <c r="E10" s="5"/>
      <c r="F10" s="5"/>
      <c r="G10" s="5" t="s">
        <v>186</v>
      </c>
      <c r="H10" s="5" t="s">
        <v>187</v>
      </c>
      <c r="I10" s="5" t="s">
        <v>187</v>
      </c>
      <c r="J10" s="5"/>
      <c r="K10" s="5"/>
      <c r="L10" s="5"/>
      <c r="M10" s="5"/>
      <c r="N10" s="5"/>
      <c r="O10" s="5"/>
    </row>
    <row r="11" customFormat="false" ht="46.25" hidden="false" customHeight="false" outlineLevel="0" collapsed="false">
      <c r="A11" s="5" t="s">
        <v>188</v>
      </c>
      <c r="B11" s="5" t="s">
        <v>64</v>
      </c>
      <c r="C11" s="5" t="s">
        <v>16</v>
      </c>
      <c r="D11" s="5"/>
      <c r="E11" s="5"/>
      <c r="F11" s="5"/>
      <c r="G11" s="5"/>
      <c r="H11" s="5" t="s">
        <v>189</v>
      </c>
      <c r="I11" s="5"/>
      <c r="J11" s="5"/>
      <c r="K11" s="5"/>
      <c r="L11" s="5"/>
      <c r="M11" s="5" t="s">
        <v>161</v>
      </c>
      <c r="N11" s="5"/>
      <c r="O11" s="5"/>
    </row>
    <row r="12" customFormat="false" ht="31.3" hidden="false" customHeight="false" outlineLevel="0" collapsed="false">
      <c r="A12" s="11" t="s">
        <v>190</v>
      </c>
      <c r="B12" s="11" t="s">
        <v>69</v>
      </c>
      <c r="C12" s="11" t="s">
        <v>16</v>
      </c>
      <c r="D12" s="11"/>
      <c r="E12" s="11"/>
      <c r="F12" s="11"/>
      <c r="G12" s="11"/>
      <c r="H12" s="11"/>
      <c r="I12" s="11"/>
      <c r="J12" s="11"/>
      <c r="K12" s="11"/>
      <c r="L12" s="11"/>
      <c r="M12" s="11" t="s">
        <v>160</v>
      </c>
      <c r="N12" s="11" t="s">
        <v>191</v>
      </c>
      <c r="O12" s="11" t="s">
        <v>191</v>
      </c>
    </row>
    <row r="13" customFormat="false" ht="31.3" hidden="false" customHeight="false" outlineLevel="0" collapsed="false">
      <c r="A13" s="11" t="s">
        <v>192</v>
      </c>
      <c r="B13" s="11" t="s">
        <v>72</v>
      </c>
      <c r="C13" s="11" t="s">
        <v>16</v>
      </c>
      <c r="D13" s="11"/>
      <c r="E13" s="11"/>
      <c r="F13" s="11" t="s">
        <v>193</v>
      </c>
      <c r="G13" s="11" t="s">
        <v>171</v>
      </c>
      <c r="H13" s="11"/>
      <c r="I13" s="11"/>
      <c r="J13" s="11"/>
      <c r="K13" s="11"/>
      <c r="L13" s="11"/>
      <c r="M13" s="11"/>
      <c r="N13" s="11"/>
      <c r="O13" s="11"/>
    </row>
    <row r="14" customFormat="false" ht="31.3" hidden="false" customHeight="false" outlineLevel="0" collapsed="false">
      <c r="A14" s="11" t="s">
        <v>194</v>
      </c>
      <c r="B14" s="11" t="s">
        <v>75</v>
      </c>
      <c r="C14" s="11" t="s">
        <v>16</v>
      </c>
      <c r="D14" s="11"/>
      <c r="E14" s="11"/>
      <c r="F14" s="11"/>
      <c r="G14" s="11" t="s">
        <v>193</v>
      </c>
      <c r="H14" s="11"/>
      <c r="I14" s="11" t="s">
        <v>195</v>
      </c>
      <c r="J14" s="11"/>
      <c r="K14" s="11" t="s">
        <v>180</v>
      </c>
      <c r="L14" s="11"/>
      <c r="M14" s="11"/>
      <c r="N14" s="11"/>
      <c r="O14" s="11"/>
    </row>
    <row r="15" customFormat="false" ht="31.3" hidden="false" customHeight="false" outlineLevel="0" collapsed="false">
      <c r="A15" s="11" t="s">
        <v>196</v>
      </c>
      <c r="B15" s="11" t="s">
        <v>78</v>
      </c>
      <c r="C15" s="11" t="s">
        <v>16</v>
      </c>
      <c r="D15" s="11"/>
      <c r="E15" s="11"/>
      <c r="F15" s="11"/>
      <c r="G15" s="11"/>
      <c r="H15" s="11"/>
      <c r="I15" s="11"/>
      <c r="J15" s="11" t="s">
        <v>197</v>
      </c>
      <c r="K15" s="11" t="s">
        <v>198</v>
      </c>
      <c r="L15" s="11"/>
      <c r="M15" s="11"/>
      <c r="N15" s="11"/>
      <c r="O15" s="11"/>
    </row>
    <row r="16" customFormat="false" ht="31.3" hidden="false" customHeight="false" outlineLevel="0" collapsed="false">
      <c r="A16" s="11" t="s">
        <v>199</v>
      </c>
      <c r="B16" s="11" t="s">
        <v>81</v>
      </c>
      <c r="C16" s="11" t="s">
        <v>16</v>
      </c>
      <c r="D16" s="11"/>
      <c r="E16" s="11"/>
      <c r="F16" s="11"/>
      <c r="G16" s="11"/>
      <c r="H16" s="11"/>
      <c r="I16" s="11"/>
      <c r="J16" s="11" t="s">
        <v>197</v>
      </c>
      <c r="K16" s="11" t="s">
        <v>198</v>
      </c>
      <c r="L16" s="11"/>
      <c r="M16" s="11"/>
      <c r="N16" s="11"/>
      <c r="O16" s="11"/>
    </row>
    <row r="17" customFormat="false" ht="31.3" hidden="false" customHeight="false" outlineLevel="0" collapsed="false">
      <c r="A17" s="11" t="s">
        <v>200</v>
      </c>
      <c r="B17" s="11" t="s">
        <v>85</v>
      </c>
      <c r="C17" s="11" t="s">
        <v>16</v>
      </c>
      <c r="D17" s="11"/>
      <c r="E17" s="11"/>
      <c r="F17" s="11"/>
      <c r="G17" s="11"/>
      <c r="H17" s="11"/>
      <c r="I17" s="11" t="s">
        <v>189</v>
      </c>
      <c r="J17" s="11"/>
      <c r="K17" s="11"/>
      <c r="L17" s="11"/>
      <c r="M17" s="11" t="s">
        <v>201</v>
      </c>
      <c r="N17" s="11"/>
      <c r="O17" s="11"/>
    </row>
    <row r="18" customFormat="false" ht="31.3" hidden="false" customHeight="false" outlineLevel="0" collapsed="false">
      <c r="A18" s="11" t="s">
        <v>202</v>
      </c>
      <c r="B18" s="11" t="s">
        <v>89</v>
      </c>
      <c r="C18" s="11" t="s">
        <v>16</v>
      </c>
      <c r="D18" s="11"/>
      <c r="E18" s="11"/>
      <c r="F18" s="11"/>
      <c r="G18" s="11"/>
      <c r="H18" s="11"/>
      <c r="I18" s="11" t="s">
        <v>189</v>
      </c>
      <c r="J18" s="11"/>
      <c r="K18" s="11"/>
      <c r="L18" s="11"/>
      <c r="M18" s="11" t="s">
        <v>172</v>
      </c>
      <c r="N18" s="11"/>
      <c r="O18" s="11"/>
    </row>
    <row r="19" customFormat="false" ht="31.3" hidden="false" customHeight="false" outlineLevel="0" collapsed="false">
      <c r="A19" s="14" t="s">
        <v>203</v>
      </c>
      <c r="B19" s="14" t="s">
        <v>92</v>
      </c>
      <c r="C19" s="14" t="s">
        <v>16</v>
      </c>
      <c r="D19" s="14"/>
      <c r="E19" s="14"/>
      <c r="F19" s="14" t="s">
        <v>167</v>
      </c>
      <c r="G19" s="14" t="s">
        <v>167</v>
      </c>
      <c r="H19" s="14"/>
      <c r="I19" s="14"/>
      <c r="J19" s="14"/>
      <c r="K19" s="14"/>
      <c r="L19" s="14"/>
      <c r="M19" s="14"/>
      <c r="N19" s="14"/>
      <c r="O19" s="14"/>
    </row>
    <row r="20" customFormat="false" ht="31.3" hidden="false" customHeight="false" outlineLevel="0" collapsed="false">
      <c r="A20" s="14" t="s">
        <v>204</v>
      </c>
      <c r="B20" s="14" t="s">
        <v>96</v>
      </c>
      <c r="C20" s="14" t="s">
        <v>16</v>
      </c>
      <c r="D20" s="14"/>
      <c r="E20" s="14"/>
      <c r="F20" s="14" t="s">
        <v>167</v>
      </c>
      <c r="G20" s="14" t="s">
        <v>167</v>
      </c>
      <c r="H20" s="14"/>
      <c r="I20" s="14"/>
      <c r="J20" s="14"/>
      <c r="K20" s="14"/>
      <c r="L20" s="14"/>
      <c r="M20" s="14"/>
      <c r="N20" s="14"/>
      <c r="O20" s="14"/>
    </row>
    <row r="21" customFormat="false" ht="31.3" hidden="false" customHeight="false" outlineLevel="0" collapsed="false">
      <c r="A21" s="14" t="s">
        <v>205</v>
      </c>
      <c r="B21" s="14" t="s">
        <v>100</v>
      </c>
      <c r="C21" s="14" t="s">
        <v>16</v>
      </c>
      <c r="D21" s="14"/>
      <c r="E21" s="14"/>
      <c r="F21" s="14" t="s">
        <v>167</v>
      </c>
      <c r="G21" s="14" t="s">
        <v>167</v>
      </c>
      <c r="H21" s="14"/>
      <c r="I21" s="14"/>
      <c r="J21" s="14"/>
      <c r="K21" s="14"/>
      <c r="L21" s="14"/>
      <c r="M21" s="14"/>
      <c r="N21" s="14"/>
      <c r="O21" s="14"/>
    </row>
    <row r="22" customFormat="false" ht="31.3" hidden="false" customHeight="false" outlineLevel="0" collapsed="false">
      <c r="A22" s="14" t="s">
        <v>206</v>
      </c>
      <c r="B22" s="14" t="s">
        <v>103</v>
      </c>
      <c r="C22" s="14" t="s">
        <v>16</v>
      </c>
      <c r="D22" s="14"/>
      <c r="E22" s="14"/>
      <c r="F22" s="14" t="s">
        <v>167</v>
      </c>
      <c r="G22" s="14" t="s">
        <v>167</v>
      </c>
      <c r="H22" s="14"/>
      <c r="I22" s="14"/>
      <c r="J22" s="14"/>
      <c r="K22" s="14"/>
      <c r="L22" s="14"/>
      <c r="M22" s="14"/>
      <c r="N22" s="14"/>
      <c r="O22" s="14"/>
    </row>
    <row r="23" customFormat="false" ht="31.3" hidden="false" customHeight="false" outlineLevel="0" collapsed="false">
      <c r="A23" s="14" t="s">
        <v>207</v>
      </c>
      <c r="B23" s="14" t="s">
        <v>106</v>
      </c>
      <c r="C23" s="14" t="s">
        <v>16</v>
      </c>
      <c r="D23" s="14"/>
      <c r="E23" s="14"/>
      <c r="F23" s="14" t="s">
        <v>167</v>
      </c>
      <c r="G23" s="14" t="s">
        <v>167</v>
      </c>
      <c r="H23" s="14"/>
      <c r="I23" s="14"/>
      <c r="J23" s="14"/>
      <c r="K23" s="14"/>
      <c r="L23" s="14"/>
      <c r="M23" s="14"/>
      <c r="N23" s="14"/>
      <c r="O23" s="14"/>
    </row>
    <row r="24" customFormat="false" ht="31.3" hidden="false" customHeight="false" outlineLevel="0" collapsed="false">
      <c r="A24" s="14" t="s">
        <v>208</v>
      </c>
      <c r="B24" s="14" t="s">
        <v>109</v>
      </c>
      <c r="C24" s="14" t="s">
        <v>16</v>
      </c>
      <c r="D24" s="14"/>
      <c r="E24" s="14"/>
      <c r="F24" s="14" t="s">
        <v>167</v>
      </c>
      <c r="G24" s="14" t="s">
        <v>167</v>
      </c>
      <c r="H24" s="14"/>
      <c r="I24" s="14"/>
      <c r="J24" s="14"/>
      <c r="K24" s="14"/>
      <c r="L24" s="14"/>
      <c r="M24" s="14"/>
      <c r="N24" s="14"/>
      <c r="O24" s="14"/>
    </row>
    <row r="25" customFormat="false" ht="31.3" hidden="false" customHeight="false" outlineLevel="0" collapsed="false">
      <c r="A25" s="14" t="s">
        <v>110</v>
      </c>
      <c r="B25" s="14" t="s">
        <v>113</v>
      </c>
      <c r="C25" s="14" t="s">
        <v>16</v>
      </c>
      <c r="D25" s="14"/>
      <c r="E25" s="14"/>
      <c r="F25" s="14"/>
      <c r="G25" s="14"/>
      <c r="H25" s="14"/>
      <c r="I25" s="14"/>
      <c r="J25" s="14" t="s">
        <v>197</v>
      </c>
      <c r="K25" s="14" t="s">
        <v>197</v>
      </c>
      <c r="L25" s="14"/>
      <c r="M25" s="14"/>
      <c r="N25" s="14"/>
      <c r="O25" s="14"/>
    </row>
    <row r="26" customFormat="false" ht="46.25" hidden="false" customHeight="false" outlineLevel="0" collapsed="false">
      <c r="A26" s="14" t="s">
        <v>115</v>
      </c>
      <c r="B26" s="14" t="s">
        <v>117</v>
      </c>
      <c r="C26" s="14" t="s">
        <v>16</v>
      </c>
      <c r="D26" s="14"/>
      <c r="E26" s="14"/>
      <c r="F26" s="14"/>
      <c r="G26" s="14"/>
      <c r="H26" s="14"/>
      <c r="I26" s="14"/>
      <c r="J26" s="14" t="s">
        <v>197</v>
      </c>
      <c r="K26" s="14" t="s">
        <v>197</v>
      </c>
      <c r="L26" s="14"/>
      <c r="M26" s="14"/>
      <c r="N26" s="14"/>
      <c r="O26" s="14"/>
    </row>
    <row r="27" customFormat="false" ht="16.4" hidden="false" customHeight="false" outlineLevel="0" collapsed="false">
      <c r="A27" s="14" t="s">
        <v>209</v>
      </c>
      <c r="B27" s="14" t="s">
        <v>121</v>
      </c>
      <c r="C27" s="14" t="s">
        <v>16</v>
      </c>
      <c r="D27" s="14"/>
      <c r="E27" s="14"/>
      <c r="F27" s="14"/>
      <c r="G27" s="14"/>
      <c r="H27" s="14"/>
      <c r="I27" s="14"/>
      <c r="J27" s="14" t="s">
        <v>197</v>
      </c>
      <c r="K27" s="14" t="s">
        <v>197</v>
      </c>
      <c r="L27" s="14"/>
      <c r="M27" s="14"/>
      <c r="N27" s="14"/>
      <c r="O27" s="14"/>
    </row>
    <row r="28" customFormat="false" ht="46.25" hidden="false" customHeight="false" outlineLevel="0" collapsed="false">
      <c r="A28" s="14" t="s">
        <v>210</v>
      </c>
      <c r="B28" s="14" t="s">
        <v>124</v>
      </c>
      <c r="C28" s="14" t="s">
        <v>16</v>
      </c>
      <c r="D28" s="14"/>
      <c r="E28" s="14"/>
      <c r="F28" s="14"/>
      <c r="G28" s="14"/>
      <c r="H28" s="14"/>
      <c r="I28" s="14"/>
      <c r="J28" s="14" t="s">
        <v>197</v>
      </c>
      <c r="K28" s="14" t="s">
        <v>197</v>
      </c>
      <c r="L28" s="14"/>
      <c r="M28" s="14"/>
      <c r="N28" s="14"/>
      <c r="O28" s="14"/>
    </row>
    <row r="29" customFormat="false" ht="31.3" hidden="false" customHeight="false" outlineLevel="0" collapsed="false">
      <c r="A29" s="14" t="s">
        <v>211</v>
      </c>
      <c r="B29" s="14" t="s">
        <v>127</v>
      </c>
      <c r="C29" s="14" t="s">
        <v>16</v>
      </c>
      <c r="D29" s="14"/>
      <c r="E29" s="14"/>
      <c r="F29" s="14"/>
      <c r="G29" s="14"/>
      <c r="H29" s="14"/>
      <c r="I29" s="14"/>
      <c r="J29" s="14" t="s">
        <v>197</v>
      </c>
      <c r="K29" s="14" t="s">
        <v>197</v>
      </c>
      <c r="L29" s="14"/>
      <c r="M29" s="14"/>
      <c r="N29" s="14"/>
      <c r="O29" s="14"/>
    </row>
    <row r="30" customFormat="false" ht="31.3" hidden="false" customHeight="false" outlineLevel="0" collapsed="false">
      <c r="A30" s="14" t="s">
        <v>212</v>
      </c>
      <c r="B30" s="14" t="s">
        <v>131</v>
      </c>
      <c r="C30" s="14" t="s">
        <v>16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181</v>
      </c>
      <c r="O30" s="14" t="s">
        <v>181</v>
      </c>
    </row>
    <row r="31" customFormat="false" ht="31.3" hidden="false" customHeight="false" outlineLevel="0" collapsed="false">
      <c r="A31" s="19" t="s">
        <v>213</v>
      </c>
      <c r="B31" s="19" t="s">
        <v>136</v>
      </c>
      <c r="C31" s="19" t="s">
        <v>133</v>
      </c>
      <c r="D31" s="19"/>
      <c r="E31" s="19"/>
      <c r="F31" s="19"/>
      <c r="G31" s="19"/>
      <c r="H31" s="19"/>
      <c r="I31" s="19"/>
      <c r="J31" s="19"/>
      <c r="K31" s="19"/>
      <c r="L31" s="19" t="s">
        <v>201</v>
      </c>
      <c r="M31" s="19" t="s">
        <v>161</v>
      </c>
      <c r="N31" s="19"/>
      <c r="O31" s="19"/>
    </row>
    <row r="32" customFormat="false" ht="31.3" hidden="false" customHeight="false" outlineLevel="0" collapsed="false">
      <c r="A32" s="19" t="s">
        <v>214</v>
      </c>
      <c r="B32" s="19" t="s">
        <v>139</v>
      </c>
      <c r="C32" s="19" t="s">
        <v>133</v>
      </c>
      <c r="D32" s="19"/>
      <c r="E32" s="19"/>
      <c r="F32" s="19"/>
      <c r="G32" s="19"/>
      <c r="H32" s="19"/>
      <c r="I32" s="19"/>
      <c r="J32" s="19"/>
      <c r="K32" s="19"/>
      <c r="L32" s="19" t="s">
        <v>160</v>
      </c>
      <c r="M32" s="19" t="s">
        <v>161</v>
      </c>
      <c r="N32" s="19"/>
      <c r="O32" s="19"/>
    </row>
    <row r="33" customFormat="false" ht="46.25" hidden="false" customHeight="false" outlineLevel="0" collapsed="false">
      <c r="A33" s="19" t="s">
        <v>215</v>
      </c>
      <c r="B33" s="19" t="s">
        <v>142</v>
      </c>
      <c r="C33" s="19" t="s">
        <v>133</v>
      </c>
      <c r="D33" s="19"/>
      <c r="E33" s="19"/>
      <c r="F33" s="19"/>
      <c r="G33" s="19"/>
      <c r="H33" s="19"/>
      <c r="I33" s="19"/>
      <c r="J33" s="19"/>
      <c r="K33" s="19"/>
      <c r="L33" s="19" t="s">
        <v>201</v>
      </c>
      <c r="M33" s="19" t="s">
        <v>161</v>
      </c>
      <c r="N33" s="19"/>
      <c r="O33" s="19"/>
    </row>
    <row r="34" customFormat="false" ht="46.25" hidden="false" customHeight="false" outlineLevel="0" collapsed="false">
      <c r="A34" s="19" t="s">
        <v>216</v>
      </c>
      <c r="B34" s="19" t="s">
        <v>145</v>
      </c>
      <c r="C34" s="19" t="s">
        <v>133</v>
      </c>
      <c r="D34" s="19"/>
      <c r="E34" s="19"/>
      <c r="F34" s="19"/>
      <c r="G34" s="19"/>
      <c r="H34" s="19"/>
      <c r="I34" s="19"/>
      <c r="J34" s="19"/>
      <c r="K34" s="19"/>
      <c r="L34" s="19" t="s">
        <v>161</v>
      </c>
      <c r="M34" s="19" t="s">
        <v>161</v>
      </c>
      <c r="N34" s="19"/>
      <c r="O3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5" hidden="false" customHeight="true" outlineLevel="0" collapsed="false">
      <c r="A1" s="20" t="s">
        <v>217</v>
      </c>
      <c r="B1" s="21"/>
    </row>
    <row r="2" customFormat="false" ht="79.5" hidden="false" customHeight="true" outlineLevel="0" collapsed="false">
      <c r="A2" s="22" t="s">
        <v>218</v>
      </c>
      <c r="B2" s="23" t="s">
        <v>219</v>
      </c>
    </row>
    <row r="3" customFormat="false" ht="79.5" hidden="false" customHeight="true" outlineLevel="0" collapsed="false">
      <c r="A3" s="22" t="s">
        <v>220</v>
      </c>
      <c r="B3" s="23" t="s">
        <v>221</v>
      </c>
    </row>
    <row r="4" customFormat="false" ht="15" hidden="false" customHeight="true" outlineLevel="0" collapsed="false">
      <c r="A4" s="23"/>
      <c r="B4" s="23"/>
    </row>
    <row r="5" customFormat="false" ht="15" hidden="false" customHeight="true" outlineLevel="0" collapsed="false">
      <c r="A5" s="20" t="s">
        <v>222</v>
      </c>
      <c r="B5" s="21"/>
    </row>
    <row r="6" customFormat="false" ht="61.5" hidden="false" customHeight="true" outlineLevel="0" collapsed="false">
      <c r="A6" s="22" t="s">
        <v>223</v>
      </c>
      <c r="B6" s="23" t="s">
        <v>224</v>
      </c>
    </row>
    <row r="7" customFormat="false" ht="79.5" hidden="false" customHeight="true" outlineLevel="0" collapsed="false">
      <c r="A7" s="22" t="s">
        <v>225</v>
      </c>
      <c r="B7" s="23" t="s">
        <v>226</v>
      </c>
    </row>
    <row r="8" customFormat="false" ht="15" hidden="false" customHeight="true" outlineLevel="0" collapsed="false">
      <c r="A8" s="22" t="s">
        <v>227</v>
      </c>
      <c r="B8" s="23" t="s">
        <v>228</v>
      </c>
    </row>
    <row r="9" customFormat="false" ht="15" hidden="false" customHeight="true" outlineLevel="0" collapsed="false">
      <c r="A9" s="23"/>
      <c r="B9" s="23"/>
    </row>
    <row r="10" customFormat="false" ht="18" hidden="false" customHeight="true" outlineLevel="0" collapsed="false">
      <c r="A10" s="22" t="s">
        <v>229</v>
      </c>
      <c r="B10" s="23" t="s">
        <v>230</v>
      </c>
    </row>
    <row r="11" customFormat="false" ht="24.75" hidden="false" customHeight="true" outlineLevel="0" collapsed="false">
      <c r="A11" s="22" t="s">
        <v>213</v>
      </c>
      <c r="B11" s="23" t="s">
        <v>136</v>
      </c>
    </row>
    <row r="12" customFormat="false" ht="19.5" hidden="false" customHeight="true" outlineLevel="0" collapsed="false">
      <c r="A12" s="22" t="s">
        <v>214</v>
      </c>
      <c r="B12" s="23" t="s">
        <v>139</v>
      </c>
    </row>
    <row r="13" customFormat="false" ht="49.5" hidden="false" customHeight="true" outlineLevel="0" collapsed="false">
      <c r="A13" s="22" t="s">
        <v>215</v>
      </c>
      <c r="B13" s="23" t="s">
        <v>142</v>
      </c>
    </row>
    <row r="14" customFormat="false" ht="51" hidden="false" customHeight="true" outlineLevel="0" collapsed="false">
      <c r="A14" s="22" t="s">
        <v>216</v>
      </c>
      <c r="B14" s="23" t="s">
        <v>145</v>
      </c>
    </row>
    <row r="15" customFormat="false" ht="15" hidden="false" customHeight="true" outlineLevel="0" collapsed="false">
      <c r="A15" s="23"/>
      <c r="B15" s="23"/>
    </row>
    <row r="16" customFormat="false" ht="15" hidden="false" customHeight="true" outlineLevel="0" collapsed="false">
      <c r="A16" s="20" t="s">
        <v>231</v>
      </c>
      <c r="B16" s="21"/>
    </row>
    <row r="17" customFormat="false" ht="69" hidden="false" customHeight="true" outlineLevel="0" collapsed="false">
      <c r="A17" s="22" t="s">
        <v>232</v>
      </c>
      <c r="B17" s="23" t="s">
        <v>233</v>
      </c>
    </row>
    <row r="18" customFormat="false" ht="27" hidden="false" customHeight="true" outlineLevel="0" collapsed="false">
      <c r="A18" s="22" t="s">
        <v>234</v>
      </c>
      <c r="B18" s="23" t="s">
        <v>235</v>
      </c>
    </row>
    <row r="19" customFormat="false" ht="49.5" hidden="false" customHeight="true" outlineLevel="0" collapsed="false">
      <c r="A19" s="22" t="s">
        <v>236</v>
      </c>
      <c r="B19" s="23" t="s">
        <v>237</v>
      </c>
    </row>
    <row r="20" customFormat="false" ht="15" hidden="false" customHeight="true" outlineLevel="0" collapsed="false">
      <c r="A20" s="22" t="s">
        <v>238</v>
      </c>
      <c r="B20" s="23" t="s">
        <v>239</v>
      </c>
    </row>
    <row r="21" customFormat="false" ht="55.5" hidden="false" customHeight="true" outlineLevel="0" collapsed="false">
      <c r="A21" s="22" t="s">
        <v>240</v>
      </c>
      <c r="B21" s="23" t="s">
        <v>241</v>
      </c>
    </row>
    <row r="22" customFormat="false" ht="42" hidden="false" customHeight="true" outlineLevel="0" collapsed="false">
      <c r="A22" s="22" t="s">
        <v>242</v>
      </c>
      <c r="B22" s="23" t="s">
        <v>243</v>
      </c>
    </row>
    <row r="23" customFormat="false" ht="42" hidden="false" customHeight="true" outlineLevel="0" collapsed="false">
      <c r="A23" s="22" t="s">
        <v>244</v>
      </c>
      <c r="B23" s="23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>
      <c r="G13" s="1" t="s">
        <v>246</v>
      </c>
      <c r="H13" s="1" t="str">
        <f aca="false">G13</f>
        <v>'Autonomous information processing at the tactical level'</v>
      </c>
    </row>
    <row r="14" customFormat="false" ht="13.8" hidden="false" customHeight="false" outlineLevel="0" collapsed="false">
      <c r="G14" s="1" t="s">
        <v>247</v>
      </c>
      <c r="H14" s="1" t="str">
        <f aca="false">H13&amp;","&amp;G13</f>
        <v>'Autonomous information processing at the tactical level','Autonomous information processing at the tactical level'</v>
      </c>
    </row>
    <row r="15" customFormat="false" ht="13.8" hidden="false" customHeight="false" outlineLevel="0" collapsed="false">
      <c r="G15" s="1" t="s">
        <v>248</v>
      </c>
      <c r="H15" s="1" t="str">
        <f aca="false">H14&amp;","&amp;G14</f>
        <v>'Autonomous information processing at the tactical level','Autonomous information processing at the tactical level','Big Data Decision Support in Command and Control Systems'</v>
      </c>
    </row>
    <row r="16" customFormat="false" ht="13.8" hidden="false" customHeight="false" outlineLevel="0" collapsed="false">
      <c r="G16" s="1" t="s">
        <v>249</v>
      </c>
      <c r="H16" s="1" t="str">
        <f aca="false">H15&amp;","&amp;G15</f>
        <v>'Autonomous information processing at the tactical level','Autonomous information processing at the tactical level','Big Data Decision Support in Command and Control Systems','Data-driven, Service-oriented, Knowledge-based Command and Control'</v>
      </c>
    </row>
    <row r="17" customFormat="false" ht="13.8" hidden="false" customHeight="false" outlineLevel="0" collapsed="false">
      <c r="G17" s="1" t="s">
        <v>250</v>
      </c>
      <c r="H17" s="1" t="str">
        <f aca="false">H16&amp;","&amp;G16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</v>
      </c>
    </row>
    <row r="18" customFormat="false" ht="13.8" hidden="false" customHeight="false" outlineLevel="0" collapsed="false">
      <c r="G18" s="1" t="s">
        <v>251</v>
      </c>
      <c r="H18" s="1" t="str">
        <f aca="false">H17&amp;","&amp;G17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Control','Enabling and Managing Data Provenance in a Command and Control Environment'</v>
      </c>
    </row>
    <row r="19" customFormat="false" ht="13.8" hidden="false" customHeight="false" outlineLevel="0" collapsed="false">
      <c r="G19" s="1" t="s">
        <v>252</v>
      </c>
      <c r="H19" s="1" t="str">
        <f aca="false">H18&amp;","&amp;G18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Control','Enabling and Managing Data Provenance in a Command and Control Environment','Architectural concepts to support future C2 systems that enable Multi-Domain Operations'</v>
      </c>
    </row>
    <row r="20" customFormat="false" ht="13.8" hidden="false" customHeight="false" outlineLevel="0" collapsed="false">
      <c r="G20" s="1" t="s">
        <v>253</v>
      </c>
      <c r="H20" s="1" t="str">
        <f aca="false">H19&amp;","&amp;G19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Control','Enabling and Managing Data Provenance in a Command and Control Environment','Architectural concepts to support future C2 systems that enable Multi-Domain Operations','Modularising software for influence operation detection in social media'</v>
      </c>
    </row>
    <row r="21" customFormat="false" ht="13.8" hidden="false" customHeight="false" outlineLevel="0" collapsed="false">
      <c r="G21" s="1" t="s">
        <v>254</v>
      </c>
      <c r="H21" s="1" t="str">
        <f aca="false">H20&amp;","&amp;G20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Control','Enabling and Managing Data Provenance in a Command and Control Environment','Architectural concepts to support future C2 systems that enable Multi-Domain Operations','Modularising software for influence operation detection in social media','A Proposed Hardware-Software Architecture for C5ISR System in the Amazon Operations'</v>
      </c>
    </row>
    <row r="22" customFormat="false" ht="13.8" hidden="false" customHeight="false" outlineLevel="0" collapsed="false">
      <c r="G22" s="1" t="s">
        <v>255</v>
      </c>
      <c r="H22" s="1" t="str">
        <f aca="false">H21&amp;","&amp;G21</f>
        <v>'Autonomous information processing at the tactical level','Autonomous information processing at the tactical level','Big Data Decision Support in Command and Control Systems','Data-driven, Service-oriented, Knowledge-based Command and Control','A Semantic-Based Information Integration Framework of Agile Command and Control','Enabling and Managing Data Provenance in a Command and Control Environment','Architectural concepts to support future C2 systems that enable Multi-Domain Operations','Modularising software for influence operation detection in social media','A Proposed Hardware-Software Architecture for C5ISR System in the Amazon Operations','The Missions &amp; Means Framework (MMF) Ontology: Matching Military Assets to Mission Objectives'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2026-04-18T18:17:27Z</dcterms:created>
  <dc:creator>openpyxl</dc:creator>
  <dc:description/>
  <dc:language>en-US</dc:language>
  <cp:lastModifiedBy/>
  <dcterms:modified xsi:type="dcterms:W3CDTF">2026-04-19T12:12:32Z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